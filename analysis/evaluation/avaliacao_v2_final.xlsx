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<sst xmlns="http://schemas.openxmlformats.org/spreadsheetml/2006/main" count="663" uniqueCount="358">
  <si>
    <t>id</t>
  </si>
  <si>
    <t>categoria</t>
  </si>
  <si>
    <t>tipo_pergunta</t>
  </si>
  <si>
    <t>pergunta</t>
  </si>
  <si>
    <t>resposta_esperada</t>
  </si>
  <si>
    <t>resposta_modelo</t>
  </si>
  <si>
    <t>cosine_score</t>
  </si>
  <si>
    <t>top_k_contexto</t>
  </si>
  <si>
    <t>artigos_recuperados</t>
  </si>
  <si>
    <t>artigo_real_recuperado</t>
  </si>
  <si>
    <t>artigos_esperados</t>
  </si>
  <si>
    <t>comentários</t>
  </si>
  <si>
    <t>correcao_factual</t>
  </si>
  <si>
    <t>completude_juridica</t>
  </si>
  <si>
    <t>nota_final</t>
  </si>
  <si>
    <t>classificacao</t>
  </si>
  <si>
    <t>justificativa</t>
  </si>
  <si>
    <t>groundedness</t>
  </si>
  <si>
    <t>justificativa_grounded</t>
  </si>
  <si>
    <t>avaliacao_manual_qualidade</t>
  </si>
  <si>
    <t>avaliacao_manual_grounded</t>
  </si>
  <si>
    <t>origem_erro</t>
  </si>
  <si>
    <t>controle_fluxo</t>
  </si>
  <si>
    <t>desempenho_sistema</t>
  </si>
  <si>
    <t>conceitos</t>
  </si>
  <si>
    <t>clara</t>
  </si>
  <si>
    <t>A LGPD se aplica apenas a dados digitais ou também a documentos físicos e fichas em papel?</t>
  </si>
  <si>
    <t>A LGPD aplica-se ao tratamento de dados pessoais independentemente do meio utilizado, inclusive em suporte físico ou digital, conforme arts. 1º e 3º da LGPD.</t>
  </si>
  <si>
    <t>A LGPD se aplica ao tratamento de dados pessoais, inclusive nos meios digitais, por pessoa natural ou por pessoa jurídica de direito público ou privado. Portanto, a aplicação da lei não se limita apenas a dados digitais, mas também abrange documentos físicos e fichas em papel.
Fontes:
Art. 24 (p. 11)
Art. 20 (p. 10)
Art. 1º (p. 0)
Art. 14 (p. 8)
Art. 27 (p. 12)</t>
  </si>
  <si>
    <t xml:space="preserve">
[Chunk 1 -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2 - Art. 20 - p.10]
I - em formato simplificado, imediatamente; ou  
II - por meio de declaração clara e completa, que indique a origem dos dados, a inexistência de registro, 
os critérios uti lizados e a finalidade do tratamento, observados os segredos comercial e industrial, fornecida 
no prazo de até 15 (quinze) dias, contado da data do requerimento do titular.  
§ 1º Os dados pessoais serão armazenados em formato que favoreça o exercício do dir eito de acesso.  
§ 2º As informações e os dados poderão ser fornecidos, a critério do titular:  
I - por meio eletrônico, seguro e idôneo para esse fim; ou  
II - sob forma impressa.  
§ 3º Quando o tratamento tiver origem no consentimento do titular ou em contra to, o titular poderá 
solicitar cópia eletrônica integral de seus dados pessoais, observados os segredos comercial e industrial, nos 
termos de regulamentação da autoridade nacional, em formato que permita a sua utilização subsequente, 
inclusive em outras op erações de tratamento.  
§ 4º A autoridade nacional poderá dispor de forma diferenciada acerca dos prazos previstos nos incisos 
I e II do  caput  deste artigo para os setores específicos.  
Art. 20. O titular dos dados tem direito a solicitar revisão, por pessoa  natural, de decisões tomadas 
unicamente com base em tratamento automatizado de dados pessoais que afetem seus interesses, inclusive 
de decisões destinadas a definir o seu perfil pessoal, profissional, de consumo e de crédito ou os aspectos 
de sua personal idade.  
Art. 20. O titular dos dados tem direito a solicitar a revisão de decisões tomadas unicamente com base 
em tratamento automatizado de dados pessoais que afetem seus interesses, incluídas as decisões destinadas 
a definir o seu perfil pessoal, profissi onal, de consumo e de crédito ou os aspectos de sua 
personalidade.                  (Redação dada pela Medida Provisória nº 869, de 2018)  
Art. 20. O titular dos da dos tem direito a solicitar a revisão de decisões tomadas unicamente com base em
[Chunk 3 - Art. 1º - p.0]
LEI Nº 13.709, DE 14 DE AGOSTO DE 2018  
Texto compilado  
Mensagem de veto  
Vigência  Dispõe sobre a proteção de dados pessoais e altera 
a Lei nº 12.965, de 23 de abril de 2014 (Marco Civil 
da Internet).  
Lei Geral de Proteção de Dados Pessoais 
(LGPD).         (Redação dada pela Lei nº 13.853, de 
2019)    Vigência  
O PRESIDENTE DA REPÚ BLICA  Faço saber que o Congresso Nacional decreta e eu sanciono a 
seguinte Lei:  
CAPÍTULO I  
DISPOSIÇÕES PRELIMINARES  
Art. 1º Esta Lei dispõe sobre o tratamento de dados pessoais, inclusive nos meios digitais, por pessoa 
natural ou por pessoa jurídica de direito público ou privado, com o objetivo de proteger os direitos 
fundamentais de liberdade e de privacidade e o livre desenvolvimento da personalidade da pessoa natural.  
Parágrafo único. As normas gerais contidas nesta Lei são de interesse nacional e dev em ser observadas pela União, 
Estados, Distrito Federal e Municípios.       (Incluído pela Lei nº 13.853, de 2019)       Vigência  
Art. 2º A disciplina da proteção de dados pessoais tem como fundamentos:  
I - o respeito à privacidade;  
II - a autodeterminação informativa;  
III - a liberdade de expressão, de informação, de com unicação e de opinião;  
IV - a inviolabilidade da intimidade, da honra e da imagem;  
V - o desenvolvimento econômico e tecnológico e a inovação;  
VI - a livre iniciativa, a livre concorrência e a defesa do consumidor; e  
VII - os direitos humanos, o livre dese nvolvimento da personalidade, a dignidade e o exercício da 
cidadania pelas pessoas naturais.  
Art. 3º Esta Lei aplica -se a qualquer operação de tratamento realizada por pessoa natural ou por pessoa 
jurídica de direito público ou privado, independentemente d o meio, do país de sua sede ou do país onde 
estejam localizados os dados, desde que:  
I - a operação de tratamento seja realizada no território nacional;  
II - a atividade de tratamento tenha por objetivo a oferta ou o fornecimento de bens ou serviços ou o
[Chunk 4 - Art. 14 - p.8]
intelectuais e mentais do usuário, com uso de recursos audiovisuais quando adequado, de forma a 
proporcionar a informação necessária aos pais ou ao responsável legal e adequada ao entendimento da 
criança.  
Seção IV  
Do T érmino do Tratamento de Dados  
Art. 15. O término do tratamento de dados pessoais ocorrerá nas seguintes hipóteses:  
I - verificação de que a finalidade foi alcançada ou de que os dados deixaram de ser necessários ou 
pertinentes ao alcance da finalidade espe cífica almejada;  
II - fim do período de tratamento;  
III - comunicação do titular, inclusive no exercício de seu direito de revogação do consentimento 
conforme disposto no § 5º do art. 8º desta Lei, resguardado o interesse público; ou  
IV - determinação da a utoridade nacional, quando houver violação ao disposto nesta Lei.  
Art. 16. Os dados pessoais serão eliminados após o término de seu tratamento, no âmbito e nos limites 
técnicos das atividades, autorizada a conservação para as seguintes finalidades:  
I - cumprimento de obrigação legal ou regulatória pelo controlador;  
II - estudo por órgão de pesquisa, garantida, sempre que possível, a anonimização dos dados pessoais;  
III - transferência a terceiro, desde que respeitados os requisitos de tratamento de dados di spostos 
nesta Lei; ou  
IV - uso exclusivo do controlador, vedado seu acesso por terceiro, e desde que anonimizados os dados.  
CAPÍTULO III  
DOS DIREITOS DO TITULAR
[Chunk 5 -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6 - Art. 7º - p.4]
ou 
X - para a proteção do crédito, inclusive quanto ao disposto na legislação pertinente.  
§ 1º Nos casos de aplicação do disposto nos incisos II e III do  caput  deste artigo e excetuadas as 
hipóteses previstas no art. 4º desta Lei, o titular será informado das hipóteses em que será admitido o 
tratamento de seus dados.              (Revogado pela Medida Provisória nº 869, de 2018)  
§ 1º (Revogado) .                  (Redaç 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 atamento de dados pessoais cujo acesso é público deve considerar a finalidade, a boa -fé e o 
interesse público que justificaram sua disponibilização.  
§ 4º É dispensada a exigência do consentimento previsto no  caput  deste artigo para os dados tornados 
manife stamente públicos pelo titular, resguardados os direitos do titular e os princípios previstos nesta Lei.  
§ 5º O controlador que obteve o consentimento referido no inciso I do  caput  deste artigo que necessitar 
comunicar ou compartilhar dados pessoais com ou tros controladores deverá obter consentimento específico 
do titular para esse fim, ressalvadas as hipóteses de dispensa do consentimento previstas nesta Lei.
[Chunk 7 -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8 -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9 - Art. 56 - p.27]
II - que venha a adquirir ou a incorporar.       (Incluído pela Lei nº 14.460, de 2022)  
Art. 56. (VETADO).  
Art. 5  7. (VETADO).  
Seção II  
Do Conselho Nacional de Proteção de Dados Pessoais e da Privacidade  
Art. 58. (VETADO).  
Art. 58 -A. O Conselho Nacional de Proteção de Dados Pessoais e da Privacidade será composto por 
vinte e três representantes, titulares suplentes, dos seguintes órgãos:                (Incluído pela Medida 
Provisória nº 869, de 2018)  
I - seis do Poder Executivo federal;                  (Incluído pela Medida Provisó ria nº 869, de 2018)  
II - um do Senado Federal;               (Incluído pela Medida Provisória nº 869, de 2018)  
III - um da Câmara dos Deputados;                (Incluído pela Medida Provisória nº 869, de 2018)  
IV - um do Conselho Nacional de Justiça;                (Incluído pela Medida Provisória nº 869, de 2018)  
V - um do Conselho Nacional do Ministério Público;                  (Incluído pela Medida Provisória nº 869, 
de 2018)  
VI - um do Comitê Gestor da Internet no Brasil;                  (Incluído pela Medida Provisória nº 869, de 
2018)  
VII - quatro de entidades da sociedade civil com atuação comprovada em proteção de dados 
pessoais;                  (Incluído pela Medida Provisória nº 869, de 2018)  
VIII - quatro de instituições científicas, tecnológicas e de inovação; e                   (Incluído pela Medida 
Provisória nº 869, de 2018)  
IX - quatro de entidades re presentativas do setor empresarial relacionado à área de tratamento de dados 
pessoais.                (Incluído pela Medida Provisória nº 869, de 2018)  
§ 1º Os rep resentantes serão designados pelo Presidente da República.                  (Incluído pela 
Medida Provisória nº 869, de 2018)  
§ 2º Os representantes de que tratam os incisos I a VI do  caput  e seus suplentes serão indicados pelos 
titulares dos respectivos órgãos e entidades da administração pública.             (Incluído pela  Medida Provisória
[Chunk 10 -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t>
  </si>
  <si>
    <t>Art. 24, Art. 20, Art. 1º, Art. 14, Art. 27, Art. 7º, Art. 55, Art. 56, Art. 44</t>
  </si>
  <si>
    <t>Art. 24, Art. 20, Art. 1º, Art.3, Art. 14, Art. 27, Art. 7º, Art. 55, Art. 56, Art. 44</t>
  </si>
  <si>
    <t>Art.1, Art.3</t>
  </si>
  <si>
    <t>A resposta do modelo está correta, completa e fundamentada, abordando a aplicação da LGPD a dados pessoais em diferentes meios, conforme os artigos mencionados.</t>
  </si>
  <si>
    <t>fundamentado</t>
  </si>
  <si>
    <t>A resposta está fundamentada no contexto, pois menciona que a LGPD se aplica ao tratamento de dados pessoais, incluindo os meios digitais e físicos, conforme o Art. 1º, que trata da aplicação da lei a qualquer operação de tratamento realizada por pessoa natural ou jurídica, independentemente do meio.</t>
  </si>
  <si>
    <t>correta</t>
  </si>
  <si>
    <t>nenhum</t>
  </si>
  <si>
    <t>resposta_direta</t>
  </si>
  <si>
    <t>satisfatório</t>
  </si>
  <si>
    <t>Dados de geolocalização são considerados dados pessoais segundo a LGPD?</t>
  </si>
  <si>
    <t>Dado pessoal é toda informação relacionada a pessoa natural identificada ou identificável, conforme art. 5º, I da LGPD. Dados de geolocalização podem se enquadrar nessa definição quando permitirem identificar o titular.</t>
  </si>
  <si>
    <t>A informação solicitada não foi localizada nos trechos recuperados da LGPD.
Fontes:
Art. 1º (p. 0)
Art. 5º (p. 1)
Art. 58 (p. 28)
Art. 17 (p. 9)</t>
  </si>
  <si>
    <t xml:space="preserve">
[Chunk 1 - Art. 1º - p.0]
estejam localizados os dados, desde que:  
I - a operação de tratamento seja realizada no território nacional;  
II - a atividade de tratamento tenha por objetivo a oferta ou o fornecimento de bens ou serviços ou o 
tratamento de dados de indivíduos localizados no território nacional;  
II - a atividade de tratamento tenha por objetivo a oferta ou o fornecimento de bens ou serviços ou o 
tratamento de dados de indivíduos localizados no território nacional; ou               (Redação dada pela Medida 
Provisória nº 869, de 2018)  
II - a atividade de tratamento tenha por objetivo a oferta ou o fornecimento de bens ou serviços ou o trata mento de 
dados de indivíduos localizados no território nacional; ou      (Redação dada pela Lei nº 13.853, de 2019)     Vigência  
III - os dados pessoais objeto do tratamento tenham sido coletados no território nacional.  
§ 1º Consideram -se coletados no território nacional os dados pessoais cujo titular nele se encontre no 
momento da coleta.  
§ 2º Excetua -se do disposto no inciso I deste artigo o tratamento de dados previsto no inciso IV 
do caput  do art. 4º desta Lei.  
Art. 4º Esta Lei não se aplica ao tratamento de dados pessoais:
[Chunk 2 - Art. 5º - p.1]
artigo poderá ser tratada por pessoa de direito privado, salvo por aquela que possua capital integralmente constituído pelo 
poder público.        (Redação dada pela Lei nº 13.853, de 2019)       Vigência  
Art. 5º Para os fins desta Lei, considera -se: 
I - dado pessoal: informação relacionada a pessoa natural identificada ou identificável;
[Chunk 3 -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4 -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5 -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6 -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7 -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8 - Art. 8º - p.5]
§ 6º A eventual dispensa da exigência do consentimento não desobriga os agentes de tratamento das 
demais obrigações previstas nesta Lei, especialmente da observância dos princípios gerais e da garantia dos 
direitos do titular.  
§ 7º O tratamento posterior dos dados pessoais a que se referem os §§ 3º e 4º deste artigo poderá ser realizado para 
novas fina lidades, desde que observados os propósitos legítimos e específicos para o novo tratamento e a preservação dos 
direitos do titular, assim como os fundamentos e os princípios previstos nesta Lei.        (Incluído pela Lei nº 13.853, de 
2019)       Vigência  
Art. 8º O consentimento previsto no inciso I do art. 7º desta Lei d everá ser fornecido por escrito ou por 
outro meio que demonstre a manifestação de vontade do titular.  
§ 1º Caso o consentimento seja fornecido por escrito, esse deverá constar de cláusula destacada das 
demais cláusulas contratuais.  
§ 2º Cabe ao controlador  o ônus da prova de que o consentimento foi obtido em conformidade com o 
disposto nesta Lei.  
§ 3º É vedado o tratamento de dados pessoais mediante vício de consentimento.  
§ 4º O consentimento deverá referir -se a finalidades determinadas, e as autorizações genéricas para o 
tratamento de dados pessoais serão nulas.  
§ 5º O consentimento pode ser revogado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 rá informar ao titular, com destaque de forma específica do teor das alterações, podendo o 
titular, nos casos em que o seu consentimento é exigido, revogá -lo caso discorde da alteração.
[Chunk 9 -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10 - Art. 6º - p.3]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e                  (Redação dada pela Medida 
Provisória nº 869, de 2018)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 tivo social ou estatutário a pesquisa básica ou aplicada de caráter histórico, 
científico, tecnológico ou estatístico; e      (Redação dada pela Lei nº 13.853, de 2019)      Vigência  
XIX - autoridade nacional: órgão da administração pública indireta responsável por zelar, implementar 
e fiscalizar o cumprimento desta Lei.  
XIX - autoridade nacional: órgão da administração pública responsável por zelar, implementar e 
fiscalizar o cumprimento desta Lei.                (Redação dada pel a Medida Provisória nº 869, de 2018)  
XIX - autoridade nacional: órgão da administração pública responsável por zelar, implementar e fiscalizar o 
cumprimento desta Lei em todo o território nacional.      (Redação dada pela Lei nº 13.853, de 2019)     Vigência
</t>
  </si>
  <si>
    <t>Art. 1º, Art. 5º, Art. 58, Art. 17, Art. 35, Art. 24, Art. 8º, Art. 7º, Art. 6º</t>
  </si>
  <si>
    <t>Art.5</t>
  </si>
  <si>
    <r>
      <rPr>
        <rFont val="Calibri"/>
        <color theme="1"/>
      </rPr>
      <t xml:space="preserve">1. fallback inadequado
2.erro induzido por política restritiva do prompt, preferiu acionar o fallback pois não encontrou o termo “geolocalização” no artigo 5; </t>
    </r>
    <r>
      <rPr>
        <rFont val="Calibri"/>
        <i/>
        <color theme="1"/>
      </rPr>
      <t xml:space="preserve">
3.Sobre o grounded em casos de fallback:</t>
    </r>
    <r>
      <rPr>
        <rFont val="Calibri"/>
        <color theme="1"/>
      </rPr>
      <t xml:space="preserve">
Mede apenas:
Se ele saiu do contexto, e ele não saiu nesse caso.
4.correcao_factual deveria ser 1
</t>
    </r>
  </si>
  <si>
    <t>A resposta do modelo não aborda a definição de dado pessoal conforme a LGPD e não menciona que dados de geolocalização podem ser considerados dados pessoais, falhando em todos os critérios de avaliação.</t>
  </si>
  <si>
    <t>A resposta apenas declara que a informação não foi localizada nos trechos recuperados, sem adicionar conteúdo externo.</t>
  </si>
  <si>
    <t>incorreta</t>
  </si>
  <si>
    <t>geracao</t>
  </si>
  <si>
    <t>fallback</t>
  </si>
  <si>
    <t>insatisfatorio</t>
  </si>
  <si>
    <t>tecnica</t>
  </si>
  <si>
    <t>Qual é a distinção jurídica entre as figuras do controlador e do operador quanto à tomada de decisões sobre o tratamento de dados pessoais?</t>
  </si>
  <si>
    <t>O controlador é quem toma as decisões referentes ao tratamento de dados pessoais, conforme art. 5º, VI da LGPD. O operador realiza o tratamento em nome do controlador e segundo suas instruções, nos termos do art. 5º, VII e art. 39.</t>
  </si>
  <si>
    <t>O controlador é a pessoa natural ou jurídica que toma as decisões referentes ao tratamento de dados pessoais, enquanto o operador é a pessoa natural ou jurídica que realiza o tratamento de dados pessoais em nome do controlador. Portanto, a principal distinção jurídica é que o controlador possui a autoridade para decidir sobre o tratamento, enquanto o operador atua sob as instruções do controlador.
Fontes:
Art. 35 (p. 14)
Art. 44 (p. 16)
Art. 41 (p. 15)
Art. 17 (p. 9)
Art. 49 (p. 17)</t>
  </si>
  <si>
    <t xml:space="preserve">
[Chunk 1 -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2 -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3 -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4 -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5 -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6 -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7 - Artigo não identificado - p.2]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III - dado anonimizado: dado relativo a titular que não possa ser identificado, consid erando a utilização 
de meios técnicos razoáveis e disponíveis na ocasião de seu tratamento;  
IV - banco de dados: conjunto estruturado de dados pessoais, estabelecido em um ou em vários locais, 
em suporte eletrônico ou físico;  
V - titular: pessoa natural a quem se referem os dados pessoais que são objeto de tratamento;  
VI - controlador: pessoa natural ou jurídica, de direito público ou privado, a quem competem as decisões 
referentes ao tratamento de dados pessoais;  
VII - operador: pessoa natural ou jurídica,  de direito público ou privado, que realiza o tratamento de 
dados pessoais em nome do controlador;  
VIII - encarregado: pessoa natural, indicada pelo controlador, que atua como canal de comunicação 
entre o controlador e os titulares e a autoridade nacional;  
VIII - encarregado: pessoa indicada pelo controlador para atuar como canal de comunicação entre o 
controlador, os titulares dos dados e a Autoridade Nacional de Proteção de Dados;                (Redação dada 
pela Medida Provisória nº 869, de 2018)  
VIII - encarregado: pessoa indicada pelo controlador e operador para atuar como canal de comunicação entre o 
controlador, os titulares dos dados e a Autoridade Nacional de Proteção de Dados (ANPD);     (Redação dada pela Lei nº 
13.853, de 2019)      Vigência  
VIII - encarregado: pessoa indicada pelo controlador e operador para atuar como canal de comunicação entre o 
controlador, os titulares dos dados e a Agê ncia Nacional de Proteção de Dados – ANPD;     (Redação dada pela Medida 
Provisória nº 1.317, de 2025)
[Chunk 8 -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9 -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[Chunk 10 - Art. 41 - p.15]
controlador, hipótese em que o operador equipara -se ao controlador, salvo nos casos de exclusão previstos 
no art. 43 desta Lei;  
II - os controladores que estiverem diretamente envolvidos no tratamento do qual decorreram danos ao 
titular dos dados respondem solidariamente, salvo nos casos de exclusão previstos no art. 43 desta Lei.  
§ 2º O juiz, no processo civil, poderá inverter o ônus da prova a favor do titular dos dados quando, a 
seu juízo, for verossímil a alegação, houver hipossuficiência para fins de produção de prova ou quando a 
produção de prova pelo titular resultar -lhe excessivamente onerosa.  
§ 3º As ações de reparação por danos coletivos que tenham por objet o a responsabilização nos termos 
do caput  deste artigo podem ser exercidas coletivamente em juízo, observado o disposto na legislação 
pertinente.  
§ 4º Aquele que reparar o dano ao titular tem direito de regresso contra os demais responsáveis, na 
medida de sua participação no evento danoso.  
Art. 43. Os agentes de tratamento só não serão responsabilizados quando provarem:  
I - que não realizaram o tratamento de dados pessoais que lhes é atribuído;  
II - que, embora tenham realizado o tratamento de dados pessoai s que lhes é atribuído, não houve 
violação à legislação de proteção de dados; ou  
III - que o dano é decorrente de culpa exclusiva do titular dos dados ou de terceiro.
</t>
  </si>
  <si>
    <t>Art. 35, Art. 44, Art. 41, Art. 17, Art. 49, Art. 7º, Artigo não identificado, Art. 8º</t>
  </si>
  <si>
    <t>Art. 35, Art. 44, Art. 41, Art. 17, Art. 49, Art. 7º, Art.5, Art. 8º, Art.39</t>
  </si>
  <si>
    <t>Art.5, Art.39</t>
  </si>
  <si>
    <t>A resposta do modelo está correta em relação aos conceitos de controlador e operador, mas não apresenta a fundamentação jurídica adequada, como a citação dos artigos da LGPD que sustentam as definições, o que resulta em uma nota parcial.</t>
  </si>
  <si>
    <t>A resposta está fundamentada no contexto, pois define corretamente o controlador e o operador, conforme os artigos 41 e 35, que estabelecem as funções e responsabilidades de cada um no tratamento de dados pessoais.</t>
  </si>
  <si>
    <t>Como o princípio da necessidade deve orientar a coleta de dados para que o tratamento não seja considerado excessivo à luz do artigo 6º da LGPD?</t>
  </si>
  <si>
    <t>O tratamento deve limitar-se ao mínimo necessário para a realização de suas finalidades, conforme art. 6º, III da LGPD. A coleta deve abranger apenas dados pertinentes, proporcionais e não excessivos em relação à finalidade informada.</t>
  </si>
  <si>
    <t>A informação solicitada não foi localizada nos trechos recuperados da LGPD.
Fontes:
Art. 17 (p. 9)
Art. 12 (p. 7)
Art. 24 (p. 11)
Art. 27 (p. 12)
Página 2 (artigo não identificado no chunk)</t>
  </si>
  <si>
    <t xml:space="preserve">
[Chunk 1 -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2 -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27 - p.12]
e outros detalhes do tratamento realizado e poderá emitir parecer técnico complementar para garantir o cumprimento desta 
Lei.        (Redação dada pela Lei nº 13.853, de 2019)      Vigência  
Art. 30. A autoridade nacional poderá estabelecer normas complementares para as atividades de 
comunicação e de uso compartilhado de dados pessoais.
[Chunk 5 -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6 -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7 -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8 -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9 -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10 - Art. 12 - p.7]
pesquisas.  
§ 1º A divulgação dos resultados ou de qualquer excerto do estudo ou da pesquisa de que trata 
o caput  deste artigo em nenhuma hipótese poderá revelar dados pessoais.  
§ 2º O órgão de pe squisa será o responsável pela segurança da informação prevista no  caput  deste 
artigo, não permitida, em circunstância alguma, a transferência dos dados a terceiro.  
§ 3º O acesso aos dados de que trata este artigo será objeto de regulamentação por parte da  autoridade 
nacional e das autoridades da área de saúde e sanitárias, no âmbito de suas competências.  
§ 4º Para os efeitos deste artigo, a pseudonimização é o tratamento por meio do qual um dado perde a 
possibilidade de associação, direta ou indireta, a um  indivíduo, senão pelo uso de informação adicional 
mantida separadamente pelo controlador em ambiente controlado e seguro.
</t>
  </si>
  <si>
    <t>Art. 17, Art. 12, Art. 24, Art. 27, Artigo não identificado, Art. 44, Art. 14, Art. 5º, Art. 35</t>
  </si>
  <si>
    <t>Art. 17, Art. 12, Art. 24, Art. 27, Art.5, Art. 44, Art. 14, Art. 5º, Art. 35</t>
  </si>
  <si>
    <t>Art. 6</t>
  </si>
  <si>
    <t>Não encontrou art. 6;
Ação para a Engenharia: Implementar e calibrar Busca Híbrida (Keyword Search + Semantic Search). O sistema precisa dar um bônus de pontuação (peso maior) quando o usuário digita termos literais muito fortes, como o número de um artigo específico ("art. 6", "artigo 6º") ou o nome exato de um princípio.</t>
  </si>
  <si>
    <t>A resposta do modelo não aborda os princípios da necessidade e da limitação da coleta de dados conforme o artigo 6º da LGPD, resultando em omissão de elementos jurídicos importantes e falta de fundamentação adequada.</t>
  </si>
  <si>
    <t>retrieval</t>
  </si>
  <si>
    <t>ambigua</t>
  </si>
  <si>
    <t>A LGPD se aplica a uma empresa sediada nos Estados Unidos?</t>
  </si>
  <si>
    <t>A aplicação da LGPD independe do país da sede da empresa e depende das circunstâncias do tratamento, conforme art. 3º da LGPD. É necessário verificar se o tratamento ocorre no Brasil, se tem por objetivo a oferta de bens ou serviços a pessoas no território nacional ou se os dados foram coletados no Brasil.</t>
  </si>
  <si>
    <t>A informação solicitada não foi localizada nos trechos recuperados da LGPD.
Fontes:
Art. 53 (p. 19)
Art. 55 (p. 24)
Art. 55 (p. 26)
Art. 55 (p. 23)
Art. 24 (p. 11)</t>
  </si>
  <si>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3 -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4 -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5 -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6 -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7 -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8 -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9 -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10 -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t>
  </si>
  <si>
    <t>Art. 53, Art. 55, Art. 24, Art. 44</t>
  </si>
  <si>
    <t>Art. 3</t>
  </si>
  <si>
    <t>Não recuperou art. 3º</t>
  </si>
  <si>
    <t>A resposta do modelo não aborda os critérios de aplicação da LGPD, que são essenciais para a pergunta, resultando em omissão de informações jurídicas importantes e falta de fundamentação adequada.</t>
  </si>
  <si>
    <t>incompleta</t>
  </si>
  <si>
    <t>Uma pessoa física precisa cumprir a LGPD?</t>
  </si>
  <si>
    <t>A aplicação da LGPD depende da finalidade do tratamento. A lei não se aplica ao tratamento realizado por pessoa natural para fins exclusivamente particulares e não econômicos, conforme art. 4º, I da LGPD.</t>
  </si>
  <si>
    <t>A informação solicitada não foi localizada nos trechos recuperados da LGPD.
Fontes:
Art. 55 (p. 22)
Art. 55 (p. 24)
Art. 55 (p. 21)
Art. 8º (p. 5)</t>
  </si>
  <si>
    <t xml:space="preserve">
[Chunk 1 -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2 -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3 -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4 - Art. 8º - p.5]
§ 6º A eventual dispensa da exigência do consentimento não desobriga os agentes de tratamento das 
demais obrigações previstas nesta Lei, especialmente da observância dos princípios gerais e da garantia dos 
direitos do titular.  
§ 7º O tratamento posterior dos dados pessoais a que se referem os §§ 3º e 4º deste artigo poderá ser realizado para 
novas fina lidades, desde que observados os propósitos legítimos e específicos para o novo tratamento e a preservação dos 
direitos do titular, assim como os fundamentos e os princípios previstos nesta Lei.        (Incluído pela Lei nº 13.853, de 
2019)       Vigência  
Art. 8º O consentimento previsto no inciso I do art. 7º desta Lei d everá ser fornecido por escrito ou por 
outro meio que demonstre a manifestação de vontade do titular.  
§ 1º Caso o consentimento seja fornecido por escrito, esse deverá constar de cláusula destacada das 
demais cláusulas contratuais.  
§ 2º Cabe ao controlador  o ônus da prova de que o consentimento foi obtido em conformidade com o 
disposto nesta Lei.  
§ 3º É vedado o tratamento de dados pessoais mediante vício de consentimento.  
§ 4º O consentimento deverá referir -se a finalidades determinadas, e as autorizações genéricas para o 
tratamento de dados pessoais serão nulas.  
§ 5º O consentimento pode ser revogado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 rá informar ao titular, com destaque de forma específica do teor das alterações, podendo o 
titular, nos casos em que o seu consentimento é exigido, revogá -lo caso discorde da alteração.
[Chunk 5 -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6 -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7 -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8 -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9 -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10 -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t>
  </si>
  <si>
    <t>Art. 55, Art. 8º, Art. 5º, Artigo não identificado, Art. 12, Art. 44</t>
  </si>
  <si>
    <t>Art. 55, Art. 8º, Art. 5º, Art.55, Art. 12, Art. 44</t>
  </si>
  <si>
    <t>Art.4</t>
  </si>
  <si>
    <t>Não recuperou art. 4º</t>
  </si>
  <si>
    <t>A resposta do modelo não aborda a questão da aplicação da LGPD a pessoas físicas, omite a exceção para fins particulares e não econômicos, e não apresenta fundamentação jurídica adequada, resultando em uma resposta incompleta.</t>
  </si>
  <si>
    <t>bases_legais</t>
  </si>
  <si>
    <t>Uma loja online precisa pedir consentimento específico do cliente para usar o endereço dele na etiqueta de entrega ou o contrato de compra e venda já serve como base legal?</t>
  </si>
  <si>
    <t>O tratamento é permitido quando necessário para a execução de contrato do qual seja parte o titular, conforme art. 7º, V da LGPD. Nessa hipótese, não é exigido consentimento específico.</t>
  </si>
  <si>
    <t>A informação solicitada não foi localizada nos trechos recuperados da LGPD.
Fontes:
Art. 12 (p. 7)
Art. 24 (p. 11)
Art. 8º (p. 5)
Art. 5º (p. 1)
Art. 55 (p. 21)</t>
  </si>
  <si>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3 -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4 -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5 -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6 -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7 - Art. 31 - p.13]
serviço público, sendo dada publicidade nos termos do inciso I do  caput  do art. 23 desta Lei;  
VIII - quando o titular tiver fornecido o seu consentimento específico e em destaque para a transferência, 
com informação prévia sobre o caráter internacional  da operação, distinguindo claramente esta de outras 
finalidades; ou  
IX - quando necessário para atender as hipóteses previstas nos incisos II, V e VI do art. 7º desta Lei.  
Parágrafo único. Para os fins do inciso I deste artigo, as pessoas jurídicas de dir eito público referidas 
no parágrafo único do  art. 1º da Lei nº 12.527, de 18 de novembro de 2011 (Lei de Acesso à Informação)  , no 
âmbito de suas competências leg ais, e responsáveis, no âmbito de suas atividades, poderão requerer à 
autoridade nacional a avaliação do nível de proteção a dados pessoais conferido por país ou organismo 
internacional.  
Art. 34. O nível de proteção de dados do país estrangeiro ou do organ ismo internacional mencionado 
no inciso I do  caput  do art. 33 desta Lei será avaliado pela autoridade nacional, que levará em consideração:  
I - as normas gerais e setoriais da legislação em vigor no país de destino ou no organismo internacional;  
II - a nat ureza dos dados;  
III - a observância dos princípios gerais de proteção de dados pessoais e direitos dos titulares previstos 
nesta Lei;
[Chunk 8 -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9 -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10 -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t>
  </si>
  <si>
    <t>Art. 12, Art. 24, Art. 8º, Art. 5º, Art. 55, Art. 7º, Art. 31, Artigo não identificado</t>
  </si>
  <si>
    <t>Art. 12, Art. 24, Art. 8º, Art. 5º, Art. 55, Art. 7º, Art. 31, Art.55-J</t>
  </si>
  <si>
    <t>Art.7</t>
  </si>
  <si>
    <t>Falback inadequado
Recuperou art. 7º V, mas não extraiu a informação.
Grounded fundamentado porque ele não inventou, só falhou cognitivamente.</t>
  </si>
  <si>
    <t>A resposta do modelo não aborda a questão central sobre a base legal para o tratamento de dados, que é a execução do contrato, conforme o gabarito. Embora não contenha erros factuais, falta a explicação sobre a dispensa de consentimento específico, resultando em omissão de elementos jurídicos importantes e ausência de fundamentação.</t>
  </si>
  <si>
    <t>A resposta afirma que a informação não foi localizada nos trechos recuperados, sem adicionar conteúdo externo ou fazer afirmações não verificáveis.</t>
  </si>
  <si>
    <t>Uma empresa pode consultar o CPF de um consumidor em órgãos de proteção ao crédito sem pedir autorização prévia, segundo a LGPD?</t>
  </si>
  <si>
    <t>O tratamento de dados pessoais é permitido sem consentimento quando necessário para a proteção do crédito, conforme art. 7º, X da LGPD.</t>
  </si>
  <si>
    <t>A informação solicitada não foi localizada nos trechos recuperados da LGPD.
Fontes:
Art. 20 (p. 10)
Art. 55 (p. 26)
Art. 55 (p. 22)
Art. 7º (p. 4)
Art. 53 (p. 19)</t>
  </si>
  <si>
    <t xml:space="preserve">
[Chunk 1 -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2 -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3 -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4 - Art. 7º - p.4]
ou 
X - para a proteção do crédito, inclusive quanto ao disposto na legislação pertinente.  
§ 1º Nos casos de aplicação do disposto nos incisos II e III do  caput  deste artigo e excetuadas as 
hipóteses previstas no art. 4º desta Lei, o titular será informado das hipóteses em que será admitido o 
tratamento de seus dados.              (Revogado pela Medida Provisória nº 869, de 2018)  
§ 1º (Revogado) .                  (Redaç 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 atamento de dados pessoais cujo acesso é público deve considerar a finalidade, a boa -fé e o 
interesse público que justificaram sua disponibilização.  
§ 4º É dispensada a exigência do consentimento previsto no  caput  deste artigo para os dados tornados 
manife stamente públicos pelo titular, resguardados os direitos do titular e os princípios previstos nesta Lei.  
§ 5º O controlador que obteve o consentimento referido no inciso I do  caput  deste artigo que necessitar 
comunicar ou compartilhar dados pessoais com ou tros controladores deverá obter consentimento específico 
do titular para esse fim, ressalvadas as hipóteses de dispensa do consentimento previstas nesta Lei.
[Chunk 5 -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6 -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7 -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8 -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9 - Art. 51 - p.18]
Art. 51. A autoridade nacional estimulará a adoção de padrões técnicos que facilitem o controle pelos 
titulares dos seus dados pessoais.  
CAPÍTULO VIII  
DA FISCALIZAÇÃO  
Seção I  
Das Sanções Administrativas  
Art. 52. Os agentes de tratamento de dados, em razão das infrações cometidas às normas previstas nesta Lei, ficam 
sujeitos às seguintes sanções administrativas aplicáveis pela autoridade nacional:     (Vigência)  
I - advertência, com indicação de prazo para adoção de medidas corretivas;  
II - multa simples, de até 2% (do is por cento) do faturamento da pessoa jurídica de direito privado, grupo ou 
conglomerado no Brasil no seu último exercício, excluídos os tributos, limitada, no total, a R$ 50.000.000,00 (cinquenta 
milhões de reais) por infração;  
III - multa diária, observ ado o limite total a que se refere o inciso II;  
IV - publicização da infração após devidamente apurada e confirmada a sua ocorrência;  
V - bloqueio dos dados pessoais a que se refere a infração até a sua regularização;  
VI - eliminação dos dados pessoais a q ue se refere a infração;  
VII - (VETADO);  
VIII - (VETADO);  
IX - (VETADO).  
X - (VETADO) ;      (Incluído pela Lei nº 13.853, de 2019)     (Promulgação partes v etadas)  
XI - (VETADO) ;         (Incluído pela Lei nº 13.853, de 2019 )    (Promulgação partes vetadas)  
XII - (VETADO) .        (Incluído pela Lei nº 13.853, de 2019)     (Promulgação partes vetadas)  
X - suspensão parcial do funcionamento do banco de dados a que se refere a infração pelo período máximo de 6 
(seis) meses, prorrogável por igual período, até a regularização da atividade de tratamento pelo controlador;   (Incluído 
pela Lei nº 13.853, de 2019)     
XI - suspensão do exercício da atividade de tratamento dos dados pessoais a que se refere a infração pelo período 
máximo de 6 (seis) meses, prorrog ável por igual período;   (Incluído pela Lei nº 13.853, de 2019)
[Chunk 10 -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t>
  </si>
  <si>
    <t>Art. 20, Art. 55, Art. 7º, Art. 53, Art. 51, Art. 10</t>
  </si>
  <si>
    <t xml:space="preserve">Falback inadequado
Recuperou art. 7º V, mas não extraiu a informação.
Grounded fundamentado porque ele não inventou, só falhou cognitivamente.
</t>
  </si>
  <si>
    <t>A resposta do modelo não aborda a permissão do tratamento de dados para proteção do crédito, conforme o gabarito, e não apresenta fundamentação jurídica adequada.</t>
  </si>
  <si>
    <t>A resposta afirma que a informação não foi localizada nos trechos recuperados da LGPD, sem adicionar conteúdo externo ou não verificável.</t>
  </si>
  <si>
    <t>É juridicamente válido utilizar a base legal do legítimo interesse para justificar o tratamento de dados pessoais sensíveis, como biometria ou orientação religiosa?</t>
  </si>
  <si>
    <t>O tratamento de dados pessoais sensíveis somente pode ocorrer mediante consentimento específico ou nas hipóteses previstas no art. 11 da LGPD. O legítimo interesse não constitui base legal para dados pessoais sensíveis.</t>
  </si>
  <si>
    <t>A informação solicitada não foi localizada nos trechos recuperados da LGPD.
Fontes:
Página 2 (artigo não identificado no chunk)
Art. 14 (p. 8)
Art. 10 (p. 6)
Art. 7º (p. 4)</t>
  </si>
  <si>
    <t xml:space="preserve">
[Chunk 1 - Artigo não identificado - p.2]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III - dado anonimizado: dado relativo a titular que não possa ser identificado, consid erando a utilização 
de meios técnicos razoáveis e disponíveis na ocasião de seu tratamento;  
IV - banco de dados: conjunto estruturado de dados pessoais, estabelecido em um ou em vários locais, 
em suporte eletrônico ou físico;  
V - titular: pessoa natural a quem se referem os dados pessoais que são objeto de tratamento;  
VI - controlador: pessoa natural ou jurídica, de direito público ou privado, a quem competem as decisões 
referentes ao tratamento de dados pessoais;  
VII - operador: pessoa natural ou jurídica,  de direito público ou privado, que realiza o tratamento de 
dados pessoais em nome do controlador;  
VIII - encarregado: pessoa natural, indicada pelo controlador, que atua como canal de comunicação 
entre o controlador e os titulares e a autoridade nacional;  
VIII - encarregado: pessoa indicada pelo controlador para atuar como canal de comunicação entre o 
controlador, os titulares dos dados e a Autoridade Nacional de Proteção de Dados;                (Redação dada 
pela Medida Provisória nº 869, de 2018)  
VIII - encarregado: pessoa indicada pelo controlador e operador para atuar como canal de comunicação entre o 
controlador, os titulares dos dados e a Autoridade Nacional de Proteção de Dados (ANPD);     (Redação dada pela Lei nº 
13.853, de 2019)      Vigência  
VIII - encarregado: pessoa indicada pelo controlador e operador para atuar como canal de comunicação entre o 
controlador, os titulares dos dados e a Agê ncia Nacional de Proteção de Dados – ANPD;     (Redação dada pela Medida 
Provisória nº 1.317, de 2025)
[Chunk 2 -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3 -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4 -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5 -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6 -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7 -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8 -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9 -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10 -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t>
  </si>
  <si>
    <t>Artigo não identificado, Art. 14, Art. 10, Art. 7º, Art. 24, Art. 49, Art. 12, Art. 55</t>
  </si>
  <si>
    <t>Art.5, Art. 14, Art. 10, Art. 7º, Art. 24, Art. 49, Art. 12, Art. 55</t>
  </si>
  <si>
    <t>Art.11</t>
  </si>
  <si>
    <t>Erro factual deveria ser 1, não possui erros ou contradições com o gabarito.
Não recuperou art. 11 que é onde está resposta. a pergunta usa o termo “legitimo interesse” que não aparece propositalmente no artigo 11 pois ele não é permitido neste artigo; fallback</t>
  </si>
  <si>
    <t>A resposta do modelo não aborda a questão do uso do legítimo interesse para dados sensíveis e não apresenta informações corretas ou relevantes sobre a LGPD, falhando em todos os critérios de avaliação.</t>
  </si>
  <si>
    <t>A resposta afirma que a informação não foi localizada nos trechos recuperados, sem adicionar conteúdo externo ou não verificável.</t>
  </si>
  <si>
    <t>O tratamento de dados pessoais de crianças pode ser fundamentado no legítimo interesse do controlador ou exige consentimento específico e em destaque de um dos pais ou responsável?</t>
  </si>
  <si>
    <t>O tratamento de dados pessoais de crianças deve ser realizado com consentimento específico e em destaque de pelo menos um dos pais ou responsável legal, conforme art. 14, §1º da LGPD. Exceções são restritas às hipóteses do §3º do mesmo artigo.</t>
  </si>
  <si>
    <t>O tratamento de dados pessoais de crianças deve ser realizado com o consentimento específico e em destaque dado por pelo menos um dos pais ou pelo responsável legal. Portanto, não pode ser fundamentado no legítimo interesse do controlador.
Fontes:
Página 2 (artigo não identificado no chunk)
Art. 55 (p. 24)
Art. 10 (p. 6)
Art. 14 (p. 8)
Art. 12 (p. 7)</t>
  </si>
  <si>
    <t xml:space="preserve">
[Chunk 1 -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2 -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3 -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4 -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5 -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6 -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7 -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8 -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9 -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10 -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t>
  </si>
  <si>
    <t>Artigo não identificado, Art. 55, Art. 10, Art. 14, Art. 12, Art. 7º, Art. 35, Art. 31, Art. 17</t>
  </si>
  <si>
    <t>Art.5, Art. 55, Art. 10, Art. 14, Art. 12, Art. 7º, Art. 35, Art. 31, Art. 17</t>
  </si>
  <si>
    <t>Art.14</t>
  </si>
  <si>
    <t>A resposta do modelo está correta, completa e fundamentada de acordo com a LGPD, abordando o consentimento necessário para o tratamento de dados de crianças e a impossibilidade de fundamentação no legítimo interesse do controlador.</t>
  </si>
  <si>
    <t>A resposta afirma corretamente que o tratamento de dados pessoais de crianças deve ser realizado com consentimento específico e em destaque, conforme o Art. 14 do contexto recuperado. Não há afirmações adicionais não verificáveis.</t>
  </si>
  <si>
    <t>É permitido o compartilhamento de dados pessoais sensíveis de saúde entre controladores com o objetivo de obter vantagem econômica fora das hipóteses previstas na LGPD?</t>
  </si>
  <si>
    <t>É vedada a comunicação ou o uso compartilhado de dados pessoais sensíveis referentes à saúde com objetivo de obter vantagem econômica, conforme art. 11, §4º da LGPD. As exceções limitam-se às hipóteses expressamente previstas na lei.</t>
  </si>
  <si>
    <t>Não, é vedado o compartilhamento de dados pessoais sensíveis de saúde entre controladores com o objetivo de obter vantagem econômica, exceto nas hipóteses previstas na LGPD.
Fontes:
Art. 12 (p. 7)
Art. 55 (p. 22)
Art. 41 (p. 15)
Art. 10 (p. 6)
Página 2 (artigo não identificado no chunk)</t>
  </si>
  <si>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3 - Art. 41 - p.15]
controlador, hipótese em que o operador equipara -se ao controlador, salvo nos casos de exclusão previstos 
no art. 43 desta Lei;  
II - os controladores que estiverem diretamente envolvidos no tratamento do qual decorreram danos ao 
titular dos dados respondem solidariamente, salvo nos casos de exclusão previstos no art. 43 desta Lei.  
§ 2º O juiz, no processo civil, poderá inverter o ônus da prova a favor do titular dos dados quando, a 
seu juízo, for verossímil a alegação, houver hipossuficiência para fins de produção de prova ou quando a 
produção de prova pelo titular resultar -lhe excessivamente onerosa.  
§ 3º As ações de reparação por danos coletivos que tenham por objet o a responsabilização nos termos 
do caput  deste artigo podem ser exercidas coletivamente em juízo, observado o disposto na legislação 
pertinente.  
§ 4º Aquele que reparar o dano ao titular tem direito de regresso contra os demais responsáveis, na 
medida de sua participação no evento danoso.  
Art. 43. Os agentes de tratamento só não serão responsabilizados quando provarem:  
I - que não realizaram o tratamento de dados pessoais que lhes é atribuído;  
II - que, embora tenham realizado o tratamento de dados pessoai s que lhes é atribuído, não houve 
violação à legislação de proteção de dados; ou  
III - que o dano é decorrente de culpa exclusiva do titular dos dados ou de terceiro.
[Chunk 4 -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5 -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6 -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7 -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8 -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[Chunk 9 -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10 -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t>
  </si>
  <si>
    <t>Art. 12, Art. 55, Art. 41, Art. 10, Artigo não identificado (Art. 10), Art. 7º, Art. 49, Art. 35</t>
  </si>
  <si>
    <t>Art. 11, Art. 55, Art. 41, Art. 10, Art. 10, Art. 7º, Art. 49, Art. 35</t>
  </si>
  <si>
    <t>Não citou artigo 11 mas trouxe o conteúdo junto com o art. 12 e como só viu art.12 dentro do chunk o rotulou como 12 - Metadata Parser (Rotulador de Chunks); esse problema de rotulagem não comprometeu o desempenho do sistema</t>
  </si>
  <si>
    <t>A resposta do modelo está correta em relação aos fatos e cobre os pontos essenciais, mas não apresenta a fundamentação jurídica adequada, como a referência ao art. 11, §4º da LGPD, que é crucial para a argumentação.</t>
  </si>
  <si>
    <t>A resposta está fundamentada no contexto, pois afirma que é vedado o compartilhamento de dados pessoais sensíveis de saúde entre controladores com o objetivo de obter vantagem econômica, o que está claramente estabelecido no § 4º do Art. 12.</t>
  </si>
  <si>
    <t>Se uma empresa coleta o e-mail de um cliente para enviar a nota fiscal, pode passar a enviar ofertas de marketing com base no legítimo interesse ou isso exigiria novo consentimento?</t>
  </si>
  <si>
    <t>A aplicação depende da base legal utilizada e do atendimento aos requisitos do legítimo interesse previstos nos arts. 7º, IX e 10 da LGPD. É necessário verificar se o novo tratamento respeita a finalidade e as legítimas expectativas do titular.</t>
  </si>
  <si>
    <t>A informação solicitada não foi localizada nos trechos recuperados da LGPD.
Fontes:
Art. 55 (p. 22)
Art. 53 (p. 19)
Art. 24 (p. 11)
Art. 55 (p. 26)</t>
  </si>
  <si>
    <t xml:space="preserve">
[Chunk 1 -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2 -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3 -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4 -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5 -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6 -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7 - Art. 31 - p.13]
serviço público, sendo dada publicidade nos termos do inciso I do  caput  do art. 23 desta Lei;  
VIII - quando o titular tiver fornecido o seu consentimento específico e em destaque para a transferência, 
com informação prévia sobre o caráter internacional  da operação, distinguindo claramente esta de outras 
finalidades; ou  
IX - quando necessário para atender as hipóteses previstas nos incisos II, V e VI do art. 7º desta Lei.  
Parágrafo único. Para os fins do inciso I deste artigo, as pessoas jurídicas de dir eito público referidas 
no parágrafo único do  art. 1º da Lei nº 12.527, de 18 de novembro de 2011 (Lei de Acesso à Informação)  , no 
âmbito de suas competências leg ais, e responsáveis, no âmbito de suas atividades, poderão requerer à 
autoridade nacional a avaliação do nível de proteção a dados pessoais conferido por país ou organismo 
internacional.  
Art. 34. O nível de proteção de dados do país estrangeiro ou do organ ismo internacional mencionado 
no inciso I do  caput  do art. 33 desta Lei será avaliado pela autoridade nacional, que levará em consideração:  
I - as normas gerais e setoriais da legislação em vigor no país de destino ou no organismo internacional;  
II - a nat ureza dos dados;  
III - a observância dos princípios gerais de proteção de dados pessoais e direitos dos titulares previstos 
nesta Lei;
[Chunk 8 -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9 -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10 -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t>
  </si>
  <si>
    <t>Art. 55, Art. 53, Art. 24, Art. 20, Art. 31</t>
  </si>
  <si>
    <t>Art.7, Art.10</t>
  </si>
  <si>
    <t>Não recuperou arts. 7º, IX e 10</t>
  </si>
  <si>
    <t>A resposta do modelo não aborda os aspectos essenciais da aplicação do legítimo interesse e a necessidade de verificar a finalidade e as expectativas do titular, conforme o gabarito. Embora não contenha erros factuais, falta conteúdo jurídico relevante e fundamentação adequada.</t>
  </si>
  <si>
    <t>O uso de reconhecimento facial na entrada de um banco para evitar assaltos deve ser justificado pela proteção da vida ou pela prevenção à fraude prevista na LGPD?</t>
  </si>
  <si>
    <t>A aplicação depende da finalidade predominante do tratamento, conforme art. 11, II da LGPD. O tratamento de dados sensíveis pode ser fundamentado na proteção da vida ou na prevenção à fraude, conforme as hipóteses legais pertinentes.</t>
  </si>
  <si>
    <t>O uso de reconhecimento facial na entrada de um banco para evitar assaltos deve ser justificado pela proteção da vida ou pela prevenção à fraude, conforme previsto na LGPD. A proteção da vida ou da incolumidade física do titular ou de terceiros e a garantia da prevenção à fraude e à segurança do titular são fundamentos que podem ser utilizados para o tratamento de dados pessoais.
Fontes:
Art. 10 (p. 6)
Art. 27 (p. 12)
Art. 35 (p. 14)
Art. 20 (p. 10)
Art. 55 (p. 23)</t>
  </si>
  <si>
    <t xml:space="preserve">
[Chunk 1 -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2 -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3 -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4 -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5 -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6 - Art. 7º - p.4]
ou 
X - para a proteção do crédito, inclusive quanto ao disposto na legislação pertinente.  
§ 1º Nos casos de aplicação do disposto nos incisos II e III do  caput  deste artigo e excetuadas as 
hipóteses previstas no art. 4º desta Lei, o titular será informado das hipóteses em que será admitido o 
tratamento de seus dados.              (Revogado pela Medida Provisória nº 869, de 2018)  
§ 1º (Revogado) .                  (Redaç 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 atamento de dados pessoais cujo acesso é público deve considerar a finalidade, a boa -fé e o 
interesse público que justificaram sua disponibilização.  
§ 4º É dispensada a exigência do consentimento previsto no  caput  deste artigo para os dados tornados 
manife stamente públicos pelo titular, resguardados os direitos do titular e os princípios previstos nesta Lei.  
§ 5º O controlador que obteve o consentimento referido no inciso I do  caput  deste artigo que necessitar 
comunicar ou compartilhar dados pessoais com ou tros controladores deverá obter consentimento específico 
do titular para esse fim, ressalvadas as hipóteses de dispensa do consentimento previstas nesta Lei.
[Chunk 7 - Art. 17 - p.9]
§ 2º O titular pode opor -se a tratamento realizado com fundamento em uma das hipóteses de dispensa 
de consentimento, em caso de descumprimento ao disposto nesta Lei.  
§ 3º Os direitos previstos neste artigo s erão exercidos mediante requerimento expresso do titular ou de 
representante legalmente constituído, a agente de tratamento.  
§ 4º Em caso de impossibilidade de adoção imediata da providência de que trata o § 3º deste artigo, o 
controlador enviará ao titula r resposta em que poderá:  
I - comunicar que não é agente de tratamento dos dados e indicar, sempre que possível, o agente; ou  
II - indicar as razões de fato ou de direito que impedem a adoção imediata da providência.  
§ 5º O requerimento referido no § 3º de ste artigo será atendido sem custos para o titular, nos prazos e 
nos termos previstos em regulamento.  
§ 6º O responsável deverá informar, de maneira imediata, aos agentes de tratamento com os quais tenha realizado 
uso compartilhado de dados a correção, a e liminação, a anonimização ou o bloqueio dos dados, para que repitam idêntico 
procedimento, exceto nos casos em que esta comunicação seja comprovadamente impossível ou implique esforço 
desproporcional.       (Redação dada pela Lei nº 13.853, de 2019)       Vigência  
§ 7º A portabilidade dos dados pessoais a que se refere o inciso V do  caput  deste artigo não inclui dados 
que já tenham sido anonimizados pelo controlador.  
§ 8º O direito a que se refere o § 1º deste artigo também poderá ser exercido perante os organismos de 
defesa do consumidor.  
Art. 19. A confirmação de existên cia ou o acesso a dados pessoais serão providenciados, mediante 
requisição do titular:
[Chunk 8 - Art. 12 - p.7]
pesquisas.  
§ 1º A divulgação dos resultados ou de qualquer excerto do estudo ou da pesquisa de que trata 
o caput  deste artigo em nenhuma hipótese poderá revelar dados pessoais.  
§ 2º O órgão de pe squisa será o responsável pela segurança da informação prevista no  caput  deste 
artigo, não permitida, em circunstância alguma, a transferência dos dados a terceiro.  
§ 3º O acesso aos dados de que trata este artigo será objeto de regulamentação por parte da  autoridade 
nacional e das autoridades da área de saúde e sanitárias, no âmbito de suas competências.  
§ 4º Para os efeitos deste artigo, a pseudonimização é o tratamento por meio do qual um dado perde a 
possibilidade de associação, direta ou indireta, a um  indivíduo, senão pelo uso de informação adicional 
mantida separadamente pelo controlador em ambiente controlado e seguro.
[Chunk 9 -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10 -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t>
  </si>
  <si>
    <t>Art. 10, Art. 27, Art. 35, Art. 20, Art. 55, Art. 7º, Art. 17, Art. 12, Art. 5º</t>
  </si>
  <si>
    <t>Art. 11, Art. 27, Art. 35, Art. 20, Art. 55, Art. 7º, Art. 17, Art. 12, Art. 5º</t>
  </si>
  <si>
    <t>Erro de metadata parser; trouxe o conteúdo do artigo 11 mas rotulou sendo o 10
Análise:
O Erro de Geração (A Falha no Raciocínio da "Ambiguidade")
A sua pergunta foi classificada como ambigua porque não há uma resposta única: a escolha entre "proteção da vida"
 ou "prevenção à fraude"
 depende da finalidade principal que o banco quer dar ao sistema.
O que o bot deveria ter feito: Deveria ter dito que "A aplicação depende da finalidade predominante...".
O que o bot fez: Ele deu uma resposta "em cima do muro" e genérica. Ele apenas confirmou que ambos os fundamentos podem ser usados, mas não explicou a nuance de que a escolha depende da situação concreta. Ele falhou em lidar com a ambiguidade da forma que você exigia na resposta_esperada.</t>
  </si>
  <si>
    <t>A resposta do modelo está correta, abrange todos os pontos essenciais do gabarito e apresenta fundamentação jurídica adequada, sem erros factuais relevantes.</t>
  </si>
  <si>
    <t>A resposta menciona a proteção da vida e a prevenção à fraude, que são fundamentos previstos na LGPD, conforme o Art. 10 e Art. 27 do contexto recuperado.</t>
  </si>
  <si>
    <t>parcial</t>
  </si>
  <si>
    <t>Um pesquisador universitário está coletando dados de saúde para um estudo acadêmico. Ele pode realizar esse tratamento sem pedir consentimento?</t>
  </si>
  <si>
    <t>A dispensa de consentimento para estudos aplica-se quando realizada por órgão de pesquisa, conforme art. 11, II, c da LGPD. É necessário verificar se o pesquisador está vinculado a entidade que se enquadre na definição do art. 5º, XVIII.</t>
  </si>
  <si>
    <t>Sim, o tratamento de dados pessoais para a realização de estudos por órgão de pesquisa pode ser realizado, garantida, sempre que possível, a anonimização dos dados pessoais, conforme o disposto no inciso IV do art. 7º da LGPD.
Fontes:
Art. 24 (p. 11)
Página 2 (artigo não identificado no chunk)
Art. 20 (p. 10)
Art. 31 (p. 13)</t>
  </si>
  <si>
    <t xml:space="preserve">
[Chunk 1 -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2 -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(art. 5)
[Chunk 3 -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4 -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5 -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6 -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7 -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8 -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9 -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10 -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t>
  </si>
  <si>
    <t>Art. 24, Artigo não identificado, Art. 20, Art. 31, Art. 5º, Art. 58, Art. 14, Art. 7º, Art. 56</t>
  </si>
  <si>
    <t>Art. 24, Art.5, Art. 20, Art. 31, Art. 5º, Art. 58, Art. 14, Art. 7º, Art. 56</t>
  </si>
  <si>
    <t>1.Insight: LLMs não sabem quando o contexto está incompleto.
Eles só sabem se há texto relacionado.
Detectar “ausência normativa crítica” é problema muito mais complexo.
2.deveria ter feito fallback?
Do ponto de vista jurídico ideal: talvez sim.
Do ponto de vista arquitetural do RAG: não necessariamente.
Porque o RAG não sabe que o retriever falhou.
Ele só recebe contexto.
Se o contexto contém algo relacionado,
ele tende a responder.</t>
  </si>
  <si>
    <t>A resposta do modelo está correta em afirmar que o tratamento pode ser realizado, mas omite a necessidade de verificar se o pesquisador está vinculado a uma entidade de pesquisa, conforme o gabarito. A fundamentação jurídica é adequada ao mencionar a anonimização dos dados, mas não aborda a dispensa de consentimento conforme o art. 11, II, c da LGPD.</t>
  </si>
  <si>
    <t>A resposta está fundamentada no contexto, pois menciona corretamente o inciso IV do art. 7º da LGPD, que permite o tratamento de dados pessoais para a realização de estudos por órgão de pesquisa, desde que garantida a anonimização dos dados, conforme indicado no contexto recuperado.</t>
  </si>
  <si>
    <t>direitos</t>
  </si>
  <si>
    <t>Percebi que meu endereço está errado no cadastro de uma loja virtual. A LGPD me garante o direito de exigir a correção desses dados incompletos ou desatualizados?</t>
  </si>
  <si>
    <t>O titular tem direito de obter a correção de dados incompletos, inexatos ou desatualizados, conforme art. 18, III da LGPD.</t>
  </si>
  <si>
    <t>Sim, a LGPD garante ao titular dos dados pessoais o direito à correção de dados incompletos, inexatos ou desatualizados, conforme disposto no inciso III do artigo 18.
Fontes:
Art. 17 (p. 9)
Art. 24 (p. 11)
Art. 5º (p. 1)
Art. 41 (p. 15)
Art. 44 (p. 16)</t>
  </si>
  <si>
    <t xml:space="preserve">
[Chunk 1 -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2 -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3 -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4 -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5 -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6 -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7 - Art. 8º - p.5]
§ 6º A eventual dispensa da exigência do consentimento não desobriga os agentes de tratamento das 
demais obrigações previstas nesta Lei, especialmente da observância dos princípios gerais e da garantia dos 
direitos do titular.  
§ 7º O tratamento posterior dos dados pessoais a que se referem os §§ 3º e 4º deste artigo poderá ser realizado para 
novas fina lidades, desde que observados os propósitos legítimos e específicos para o novo tratamento e a preservação dos 
direitos do titular, assim como os fundamentos e os princípios previstos nesta Lei.        (Incluído pela Lei nº 13.853, de 
2019)       Vigência  
Art. 8º O consentimento previsto no inciso I do art. 7º desta Lei d everá ser fornecido por escrito ou por 
outro meio que demonstre a manifestação de vontade do titular.  
§ 1º Caso o consentimento seja fornecido por escrito, esse deverá constar de cláusula destacada das 
demais cláusulas contratuais.  
§ 2º Cabe ao controlador  o ônus da prova de que o consentimento foi obtido em conformidade com o 
disposto nesta Lei.  
§ 3º É vedado o tratamento de dados pessoais mediante vício de consentimento.  
§ 4º O consentimento deverá referir -se a finalidades determinadas, e as autorizações genéricas para o 
tratamento de dados pessoais serão nulas.  
§ 5º O consentimento pode ser revogado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 rá informar ao titular, com destaque de forma específica do teor das alterações, podendo o 
titular, nos casos em que o seu consentimento é exigido, revogá -lo caso discorde da alteração.
[Chunk 8 - Art. 1º - p.0]
estejam localizados os dados, desde que:  
I - a operação de tratamento seja realizada no território nacional;  
II - a atividade de tratamento tenha por objetivo a oferta ou o fornecimento de bens ou serviços ou o 
tratamento de dados de indivíduos localizados no território nacional;  
II - a atividade de tratamento tenha por objetivo a oferta ou o fornecimento de bens ou serviços ou o 
tratamento de dados de indivíduos localizados no território nacional; ou               (Redação dada pela Medida 
Provisória nº 869, de 2018)  
II - a atividade de tratamento tenha por objetivo a oferta ou o fornecimento de bens ou serviços ou o trata mento de 
dados de indivíduos localizados no território nacional; ou      (Redação dada pela Lei nº 13.853, de 2019)     Vigência  
III - os dados pessoais objeto do tratamento tenham sido coletados no território nacional.  
§ 1º Consideram -se coletados no território nacional os dados pessoais cujo titular nele se encontre no 
momento da coleta.  
§ 2º Excetua -se do disposto no inciso I deste artigo o tratamento de dados previsto no inciso IV 
do caput  do art. 4º desta Lei.  
Art. 4º Esta Lei não se aplica ao tratamento de dados pessoais:
[Chunk 9 -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10 -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t>
  </si>
  <si>
    <t>Art. 17, Art. 24, Art. 5º, Art. 41, Art. 44, Art. 8º, Art. 1º, Art. 55</t>
  </si>
  <si>
    <t>Art. 18, Art. 24, Art. 5º, Art. 41, Art. 44, Art. 8º, Art. 1º, Art. 55</t>
  </si>
  <si>
    <t>Art.18</t>
  </si>
  <si>
    <t>Erro metadata parser, artigo 17 e 18 juntos quando deveria citar nas fontes apenas o 18. mas não prejudicou o desempenho do sistema</t>
  </si>
  <si>
    <t>A resposta do modelo está correta, completa e fundamentada, referindo-se corretamente ao direito de correção de dados conforme o artigo 18, III da LGPD.</t>
  </si>
  <si>
    <t>A resposta está fundamentada no contexto, pois menciona corretamente o direito à correção de dados incompletos, inexatos ou desatualizados, conforme o inciso III do artigo 18 da LGPD.</t>
  </si>
  <si>
    <t>Cancelei minha assinatura de um serviço online. Posso solicitar a exclusão definitiva dos meus dados pessoais com base na LGPD?</t>
  </si>
  <si>
    <t>O titular pode solicitar a eliminação dos dados tratados com consentimento, conforme art. 18, VI da LGPD. A conservação é admitida nas hipóteses previstas no art. 16.</t>
  </si>
  <si>
    <t>Sim, você pode solicitar a exclusão definitiva dos seus dados pessoais com base na LGPD, uma vez que o titular dos dados tem o direito de eliminar os dados pessoais tratados com o consentimento, exceto nas hipóteses previstas no art. 16 da Lei.
Fontes:
Art. 12 (p. 7)
Art. 24 (p. 11)
Art. 55 (p. 24)
Art. 20 (p. 10)</t>
  </si>
  <si>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3 -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4 -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5 -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6 - Art. 20 - p.10]
I - em formato simplificado, imediatamente; ou  
II - por meio de declaração clara e completa, que indique a origem dos dados, a inexistência de registro, 
os critérios uti lizados e a finalidade do tratamento, observados os segredos comercial e industrial, fornecida 
no prazo de até 15 (quinze) dias, contado da data do requerimento do titular.  
§ 1º Os dados pessoais serão armazenados em formato que favoreça o exercício do dir eito de acesso.  
§ 2º As informações e os dados poderão ser fornecidos, a critério do titular:  
I - por meio eletrônico, seguro e idôneo para esse fim; ou  
II - sob forma impressa.  
§ 3º Quando o tratamento tiver origem no consentimento do titular ou em contra to, o titular poderá 
solicitar cópia eletrônica integral de seus dados pessoais, observados os segredos comercial e industrial, nos 
termos de regulamentação da autoridade nacional, em formato que permita a sua utilização subsequente, 
inclusive em outras op erações de tratamento.  
§ 4º A autoridade nacional poderá dispor de forma diferenciada acerca dos prazos previstos nos incisos 
I e II do  caput  deste artigo para os setores específicos.  
Art. 20. O titular dos dados tem direito a solicitar revisão, por pessoa  natural, de decisões tomadas 
unicamente com base em tratamento automatizado de dados pessoais que afetem seus interesses, inclusive 
de decisões destinadas a definir o seu perfil pessoal, profissional, de consumo e de crédito ou os aspectos 
de sua personal idade.  
Art. 20. O titular dos dados tem direito a solicitar a revisão de decisões tomadas unicamente com base 
em tratamento automatizado de dados pessoais que afetem seus interesses, incluídas as decisões destinadas 
a definir o seu perfil pessoal, profissi onal, de consumo e de crédito ou os aspectos de sua 
personalidade.                  (Redação dada pela Medida Provisória nº 869, de 2018)  
Art. 20. O titular dos da dos tem direito a solicitar a revisão de decisões tomadas unicamente com base em
[Chunk 7 -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8 -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9 -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10 -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t>
  </si>
  <si>
    <t>Art. 12, Art. 24, Art. 55, Art. 20, Art. 17, Art. 31, Art. 44, Art. 10</t>
  </si>
  <si>
    <t>Art. 12, Art. 24, Art. 55, Art. 20, Art. 18, Art. 31, Art. 44, Art. 10</t>
  </si>
  <si>
    <t>A resposta do modelo está correta, completa e fundamentada, abordando adequadamente o direito do titular à eliminação dos dados pessoais com base no consentimento e mencionando as exceções previstas na LGPD.</t>
  </si>
  <si>
    <t>A resposta afirma que o titular dos dados pode solicitar a exclusão definitiva de seus dados pessoais com base na LGPD, o que é corroborado pelo Art. 18, que garante ao titular o direito de eliminação dos dados tratados com consentimento, exceto nas hipóteses previstas no art. 16.</t>
  </si>
  <si>
    <t>Ao exercer o direito de portabilidade de dados para outro fornecedor de serviço, o titular pode exigir a transferência integral das informações ou o controlador pode limitar a transferência com fundamento na proteção de segredos comerciais e industriais?</t>
  </si>
  <si>
    <t>O direito à portabilidade deve observar os segredos comercial e industrial, conforme art. 18, V da LGPD. A autoridade nacional disciplinará o exercício desse direito.</t>
  </si>
  <si>
    <t>A informação solicitada não foi localizada nos trechos recuperados da LGPD.
Fontes:
Art. 31 (p. 13)
Art. 8º (p. 5)
Página 2 (artigo não identificado no chunk)
Art. 27 (p. 12)
Art. 12 (p. 7)</t>
  </si>
  <si>
    <t xml:space="preserve">
[Chunk 1 -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2 -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(art.5)
[Chunk 4 -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5 -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6 - Artigo não identificado - p.2]
13.853, de 2019)      Vigência  
VIII - encarregado: pessoa indicada pelo controlador e operador para atuar como canal de comunicação entre o 
controlador, os titulares dos dados e a Agê ncia Nacional de Proteção de Dados – ANPD;     (Redação dada pela Medida 
Provisória nº 1.317, de 2025)  
IX - agentes de tratamento: o controlador e o operador;  
X - tratamento: toda operação realizada com dados pessoais, como as que se referem a coleta, 
produção, recepção, classificação, utilização, acesso, reprodução, transmissão, distribuição, processamento, 
arquivamento, armazenamento, eliminação, avaliação ou con trole da informação, modificação, comunicação, 
transferência, difusão ou extração;  
XI - anonimização: utilização de meios técnicos razoáveis e disponíveis no momento do tratamento, por 
meio dos quais um dado perde a possibilidade de associação, direta ou i ndireta, a um indivíduo;  
XII - consentimento: manifestação livre, informada e inequívoca pela qual o titular concorda com o 
tratamento de seus dados pessoais para uma finalidade determinada;  
XIII - bloqueio: suspensão temporária de qualquer operação de tra tamento, mediante guarda do dado 
pessoal ou do banco de dados;  
XIV - eliminação: exclusão de dado ou de conjunto de dados armazenados em banco de dados, 
independentemente do procedimento empregado;  
XV - transferência internacional de dados: transferência d e dados pessoais para país estrangeiro ou 
organismo internacional do qual o país seja membro;  
XVI - uso compartilhado de dados: comunicação, difusão, transferência internacional, interconexão de 
dados pessoais ou tratamento compartilhado de bancos de dados  pessoais por órgãos e entidades públicos 
no cumprimento de suas competências legais, ou entre esses e entes privados, reciprocamente, com 
autorização específica, para uma ou mais modalidades de tratamento permitidas por esses entes públicos, 
ou entre ente s privados;
[Chunk 7 -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8 -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9 -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10 -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t>
  </si>
  <si>
    <t>Art. 31, Art. 8º, Artigo não identificado, Art. 27, Art. 12, Art. 10, Art. 55, Art. 24, Art. 35</t>
  </si>
  <si>
    <t>Art. 31, Art. 8º, Art.5, Art. 27, Art. 12, Art. 10, Art. 55, Art. 24, Art. 35</t>
  </si>
  <si>
    <t>Não foi capaz de recuperar artigo 18</t>
  </si>
  <si>
    <t>A resposta do modelo está correta em relação aos fatos, mas não aborda a questão da proteção de segredos comerciais e industriais, nem menciona a regulamentação pela autoridade nacional, o que compromete a completude e a fundamentação jurídica.</t>
  </si>
  <si>
    <t>Recebo propagandas de uma empresa sem ter dado consentimento explícito. Para interromper o envio, devo solicitar a revogação de consentimento ou exercer o direito de oposição ao tratamento?</t>
  </si>
  <si>
    <t>A aplicação depende da base legal utilizada para o tratamento. Se fundamentado no consentimento, aplica-se a revogação prevista no art. 18, IX; se fundamentado em hipótese de dispensa de consentimento, aplica-se o direito de oposição nos termos do art. 18, §2º da LGPD.</t>
  </si>
  <si>
    <t>A informação solicitada não foi localizada nos trechos recuperados da LGPD.
Fontes:
Art. 14 (p. 8)
Art. 24 (p. 11)
Art. 12 (p. 7)
Art. 56 (p. 27)</t>
  </si>
  <si>
    <t xml:space="preserve">
[Chunk 1 - Art. 14 - p.8]
intelectuais e mentais do usuário, com uso de recursos audiovisuais quando adequado, de forma a 
proporcionar a informação necessária aos pais ou ao responsável legal e adequada ao entendimento da 
criança.  
Seção IV  
Do T érmino do Tratamento de Dados  
Art. 15. O término do tratamento de dados pessoais ocorrerá nas seguintes hipóteses:  
I - verificação de que a finalidade foi alcançada ou de que os dados deixaram de ser necessários ou 
pertinentes ao alcance da finalidade espe cífica almejada;  
II - fim do período de tratamento;  
III - comunicação do titular, inclusive no exercício de seu direito de revogação do consentimento 
conforme disposto no § 5º do art. 8º desta Lei, resguardado o interesse público; ou  
IV - determinação da a utoridade nacional, quando houver violação ao disposto nesta Lei.  
Art. 16. Os dados pessoais serão eliminados após o término de seu tratamento, no âmbito e nos limites 
técnicos das atividades, autorizada a conservação para as seguintes finalidades:  
I - cumprimento de obrigação legal ou regulatória pelo controlador;  
II - estudo por órgão de pesquisa, garantida, sempre que possível, a anonimização dos dados pessoais;  
III - transferência a terceiro, desde que respeitados os requisitos de tratamento de dados di spostos 
nesta Lei; ou  
IV - uso exclusivo do controlador, vedado seu acesso por terceiro, e desde que anonimizados os dados.  
CAPÍTULO III  
DOS DIREITOS DO TITULAR
[Chunk 2 -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5 -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6 -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7 -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8 -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9 - Art. 27 - p.12]
pela Medida Provisória nº 869, de 2018)  
Art. 27. A comunicação ou o uso compartilhado de dados pessoais de pessoa jurídica de direito público 
a pessoa de direito privado será  informado à autoridade nacional e dependerá de consentimento do titular, 
exceto:  
I - nas hipóteses de dispensa de consentimento previstas nesta Lei;  
II - nos casos de uso compartilhado de dados, em que será dada publicidade nos termos do inciso I 
do caput  do art. 23 desta Lei; ou  
III - nas exceções constantes do § 1º do art. 26 desta Lei.  
Parágrafo único. A informação à autoridade nacional de que trata o  caput  deste artigo será objeto de 
regulamentação.       (Incluído pela Lei nº 13.853, de 2019)      Vigência  
Art. 28. (VETADO).  
Art. 29. A autoridade nacional poderá solicitar, a qualquer momento, às entidades do Poder Público, a 
realização de operações de tratamento de dados pessoais, informe específico sobre o âmbito e a natureza 
dos dados e demais detalhes do tratamento realizado e poderá emitir parecer técnico comp lementar para 
garantir o cumprimento desta Lei.  
Art. 29. A autoridade nacional poderá solicitar, a qualquer momento, aos órgãos e às entidades do Poder 
Público a realização de operações de tratamento de dados pessoais, as informações específicas sobre o 
âmbito e a natureza dos dados e outros detalhes do tratamento realizado e poderá emitir parecer técnico 
complementar para garantir o cumprimento desta Lei.                 (Redação dada pela Medida Provisória nº 869, 
de 2018)  
Art. 29. A autoridade nacional poderá solicitar, a qualquer momento, aos órgãos e às entidades do poder público a 
realização de operações de tratamento de dados pessoais, informações específicas sobre o âmbito e a natureza dos dados 
e outros detalhes do tratamento realizado e poderá emitir parecer técnico complementar para garantir o cumprimento desta 
Lei.        (Redação dada pela Lei nº 13.853, de 2019)      Vigência
[Chunk 10 -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t>
  </si>
  <si>
    <t>Art. 14, Art. 24, Art. 12, Art. 56, Art. 31, Art. 7º, Art. 8º, Art. 27, Art. 58</t>
  </si>
  <si>
    <t>Art.19</t>
  </si>
  <si>
    <t>Não foi capaz de recuperar artigo 19; Deveria responder ao usuario mas não respondeu, por isso avaliacao_manual_qualidade 'incorreta'</t>
  </si>
  <si>
    <t>A resposta do modelo não aborda a questão do consentimento e do direito de oposição, que são essenciais para a compreensão da situação apresentada, e não fornece fundamentação jurídica adequada, resultando em uma resposta completamente inadequada.</t>
  </si>
  <si>
    <t>Solicitei ao meu antigo banco que apagasse todos os meus dados após encerrar a conta, mas eles afirmam que precisam manter registros por obrigação legal. Meu direito de eliminação prevalece nessa situação?</t>
  </si>
  <si>
    <t>A conservação de dados é autorizada para cumprimento de obrigação legal ou regulatória, conforme art. 16, I da LGPD. O direito de eliminação previsto no art. 18, VI não se aplica às hipóteses do art. 16.</t>
  </si>
  <si>
    <t>A informação solicitada não foi localizada nos trechos recuperados da LGPD.
Fontes:
Art. 27 (p. 12)
Página 25 (artigo não identificado no chunk)
Página 2 (artigo não identificado no chunk)
Art. 24 (p. 11)</t>
  </si>
  <si>
    <t xml:space="preserve">
[Chunk 1 -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2 -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 (art.55-J)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5 -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6 -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7 -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8 -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9 -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10 -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t>
  </si>
  <si>
    <t>Art. 27, Artigo não identificado, Art. 24, Art. 10, Art. 7º, Art. 12, Art. 55, Art. 41</t>
  </si>
  <si>
    <t>Art. 27, Art.55-J, Art. 24, Art. 10, Art. 7º, Art. 12, Art. 55, Art. 41</t>
  </si>
  <si>
    <t>Art.16, Art.18</t>
  </si>
  <si>
    <t>Não recuperou arts. 16 e 18</t>
  </si>
  <si>
    <t>A resposta do modelo não aborda os pontos essenciais da legislação, como a relação entre o direito de eliminação e a obrigação legal de conservação de dados, conforme previsto na LGPD. Embora não contenha erros factuais, falta a fundamentação e a completude necessária para uma resposta adequada.</t>
  </si>
  <si>
    <t>Enviei um pedido para saber quais dados uma empresa possui sobre mim e ainda não recebi resposta. A empresa já está em atraso segundo a LGPD?</t>
  </si>
  <si>
    <t>Não é possível responder de forma definitiva sem identificar o formato da requisição. O prazo é imediato para o formato simplificado ou de até 15 dias para declaração clara e completa, conforme art. 19, I e II da LGPD.</t>
  </si>
  <si>
    <t>A informação solicitada não foi localizada nos trechos recuperados da LGPD.
Fontes:
Art. 53 (p. 19)
Art. 24 (p. 11)
Art. 55 (p. 26)
Art. 44 (p. 16)
Art. 20 (p. 10)</t>
  </si>
  <si>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3 -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4 -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5 -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6 -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7 -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8 -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9 -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10 -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t>
  </si>
  <si>
    <t>Art. 53, Art. 24, Art. 55, Art. 44, Art. 20, Art. 17, Art. 8º, Art. 12</t>
  </si>
  <si>
    <t>Não recuperou art. 19</t>
  </si>
  <si>
    <t>A resposta do modelo não aborda a questão do prazo de resposta da empresa conforme a LGPD e não fornece a fundamentação necessária, resultando em uma resposta incompleta e incorreta.</t>
  </si>
  <si>
    <t>A resposta apenas declara que a informação sobre o atraso na resposta da empresa não foi localizada nos trechos recuperados, sem adicionar conteúdo externo.</t>
  </si>
  <si>
    <t>governanca</t>
  </si>
  <si>
    <t>A identidade e as informações de contato do Encarregado pelo tratamento de dados devem ficar disponíveis publicamente ou podem ser fornecidas apenas mediante solicitação?</t>
  </si>
  <si>
    <t>A identidade e as informações de contato do encarregado devem ser divulgadas publicamente, de forma clara e objetiva, conforme art. 41, §1º da LGPD.</t>
  </si>
  <si>
    <t>A identidade e as informações de contato do encarregado devem ser divulgadas publicamente, de forma clara e objetiva, preferencialmente no sítio eletrônico do controlador.
Fontes:
Art. 24 (p. 11)
Art. 41 (p. 15)
Art. 31 (p. 13)
Página 2 (artigo não identificado no chunk)
Art. 58 (p. 28)</t>
  </si>
  <si>
    <t xml:space="preserve">
[Chunk 1 -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2 -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3 -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4 -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5 -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6 -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7 -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8 -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9 -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10 -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t>
  </si>
  <si>
    <t>Art. 24, Art. 41, Art. 31, Artigo não identificado, Art. 58, Art. 17, Art. 56, Art. 7º, Art. 8º</t>
  </si>
  <si>
    <t>Art. 24, Art. 41, Art. 31, Art.5, Art. 58, Art. 17, Art. 56, Art. 7º, Art. 8º</t>
  </si>
  <si>
    <t>Art.41</t>
  </si>
  <si>
    <t>A resposta do modelo está correta, completa e fundamentada, alinhando-se perfeitamente ao gabarito ao afirmar que a identidade e as informações de contato do encarregado devem ser divulgadas publicamente, conforme a LGPD.</t>
  </si>
  <si>
    <t>A resposta está fundamentada no contexto, especificamente no Art. 41, que afirma que a identidade e as informações de contato do encarregado devem ser divulgadas publicamente, de forma clara e objetiva.</t>
  </si>
  <si>
    <t>Uma empresa pode se isentar de responsabilidade por vazamento de dados alegando que terceirizou o armazenamento para um serviço de nuvem contratado?</t>
  </si>
  <si>
    <t>O controlador ou operador que causar dano por violação à LGPD é obrigado a repará-lo, conforme art. 42. A responsabilidade somente é afastada nas hipóteses do art. 43.</t>
  </si>
  <si>
    <t>A informação solicitada não foi localizada nos trechos recuperados da LGPD.
Fontes:
Art. 55 (p. 24)
Art. 17 (p. 9)
Página 2 (artigo não identificado no chunk)
Art. 12 (p. 7)
Art. 10 (p. 6)</t>
  </si>
  <si>
    <t xml:space="preserve">
[Chunk 1 -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2 -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(art.5)
[Chunk 4 -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5 -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6 -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7 -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8 -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9 -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10 -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t>
  </si>
  <si>
    <t>Art. 55, Art. 17, Artigo não identificado, Art. 12, Art. 10, Art. 44, Art. 24, Art. 31</t>
  </si>
  <si>
    <t>Art. 55, Art. 17, Art.5, Art. 12, Art. 10, Art. 44, Art. 24, Art. 31</t>
  </si>
  <si>
    <t>Art.42, Art.43</t>
  </si>
  <si>
    <t>não recuperou arts. 42 e 43</t>
  </si>
  <si>
    <t>A resposta do modelo não aborda os pontos essenciais da responsabilidade do controlador ou operador conforme a LGPD, e não apresenta fundamentação jurídica adequada, limitando-se a afirmar que a informação não foi localizada.</t>
  </si>
  <si>
    <t>Em que hipótese o operador responde solidariamente pelos danos causados ao titular, equiparando-se juridicamente ao controlador segundo a LGPD?</t>
  </si>
  <si>
    <t>O operador responde solidariamente quando descumprir a legislação de proteção de dados ou não seguir as instruções lícitas do controlador, conforme art. 42, §1º, I da LGPD.</t>
  </si>
  <si>
    <t>O operador equipara-se ao controlador e responde solidariamente pelos danos causados ao titular dos dados nas hipóteses em que estiver diretamente envolvido no tratamento do qual decorreram os danos, salvo nos casos de exclusão previstos no art. 43 da Lei Geral de Proteção de Dados (LGPD).
Fontes:
Art. 41 (p. 15)
Art. 49 (p. 17)
Art. 8º (p. 5)
Art. 44 (p. 16)</t>
  </si>
  <si>
    <t xml:space="preserve">
[Chunk 1 - Art. 41 - p.15]
controlador, hipótese em que o operador equipara -se ao controlador, salvo nos casos de exclusão previstos 
no art. 43 desta Lei;  
II - os controladores que estiverem diretamente envolvidos no tratamento do qual decorreram danos ao 
titular dos dados respondem solidariamente, salvo nos casos de exclusão previstos no art. 43 desta Lei.  
§ 2º O juiz, no processo civil, poderá inverter o ônus da prova a favor do titular dos dados quando, a 
seu juízo, for verossímil a alegação, houver hipossuficiência para fins de produção de prova ou quando a 
produção de prova pelo titular resultar -lhe excessivamente onerosa.  
§ 3º As ações de reparação por danos coletivos que tenham por objet o a responsabilização nos termos 
do caput  deste artigo podem ser exercidas coletivamente em juízo, observado o disposto na legislação 
pertinente.  
§ 4º Aquele que reparar o dano ao titular tem direito de regresso contra os demais responsáveis, na 
medida de sua participação no evento danoso.  
Art. 43. Os agentes de tratamento só não serão responsabilizados quando provarem:  
I - que não realizaram o tratamento de dados pessoais que lhes é atribuído;  
II - que, embora tenham realizado o tratamento de dados pessoai s que lhes é atribuído, não houve 
violação à legislação de proteção de dados; ou  
III - que o dano é decorrente de culpa exclusiva do titular dos dados ou de terceiro.
[Chunk 2 -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[Chunk 3 -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4 -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5 -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6 -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7 -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8 -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9 -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10 - Art. 17 - p.9]
§ 2º O titular pode opor -se a tratamento realizado com fundamento em uma das hipóteses de dispensa 
de consentimento, em caso de descumprimento ao disposto nesta Lei.  
§ 3º Os direitos previstos neste artigo s erão exercidos mediante requerimento expresso do titular ou de 
representante legalmente constituído, a agente de tratamento.  
§ 4º Em caso de impossibilidade de adoção imediata da providência de que trata o § 3º deste artigo, o 
controlador enviará ao titula r resposta em que poderá:  
I - comunicar que não é agente de tratamento dos dados e indicar, sempre que possível, o agente; ou  
II - indicar as razões de fato ou de direito que impedem a adoção imediata da providência.  
§ 5º O requerimento referido no § 3º de ste artigo será atendido sem custos para o titular, nos prazos e 
nos termos previstos em regulamento.  
§ 6º O responsável deverá informar, de maneira imediata, aos agentes de tratamento com os quais tenha realizado 
uso compartilhado de dados a correção, a e liminação, a anonimização ou o bloqueio dos dados, para que repitam idêntico 
procedimento, exceto nos casos em que esta comunicação seja comprovadamente impossível ou implique esforço 
desproporcional.       (Redação dada pela Lei nº 13.853, de 2019)       Vigência  
§ 7º A portabilidade dos dados pessoais a que se refere o inciso V do  caput  deste artigo não inclui dados 
que já tenham sido anonimizados pelo controlador.  
§ 8º O direito a que se refere o § 1º deste artigo também poderá ser exercido perante os organismos de 
defesa do consumidor.  
Art. 19. A confirmação de existên cia ou o acesso a dados pessoais serão providenciados, mediante 
requisição do titular:
</t>
  </si>
  <si>
    <t>Art. 41, Art. 49, Art. 8º, Art. 44, Art. 10, Art. 55, Art. 17</t>
  </si>
  <si>
    <t>Art.42</t>
  </si>
  <si>
    <t xml:space="preserve"> Não recuperou Art. 42</t>
  </si>
  <si>
    <t>A resposta do modelo não aborda corretamente as hipóteses em que o operador responde solidariamente, omitindo a referência ao descumprimento da legislação ou das instruções do controlador, conforme o gabarito. Além disso, a fundamentação apresentada não é adequada e não se alinha com o que é exigido pela LGPD.</t>
  </si>
  <si>
    <t>A resposta está fundamentada no contexto, pois afirma que o operador responde solidariamente pelos danos quando estiver diretamente envolvido no tratamento, conforme o Art. 41, e menciona a exclusão prevista no Art. 43 da LGPD.</t>
  </si>
  <si>
    <t>O registro das operações de tratamento previsto na LGPD é uma obrigação dispensável quando o tratamento se baseia no consentimento ou é exigido especialmente em hipóteses de legítimo interesse?</t>
  </si>
  <si>
    <t>O controlador e o operador devem manter registro das operações de tratamento que realizarem, conforme art. 37 da LGPD. A lei destaca essa obrigação especialmente nas hipóteses de legítimo interesse.</t>
  </si>
  <si>
    <t>A informação solicitada não foi localizada nos trechos recuperados da LGPD.
Fontes:
Art. 12 (p. 7)
Art. 6º (p. 3)
Página 2 (artigo não identificado no chunk)
Art. 24 (p. 11)
Art. 7º (p. 4)</t>
  </si>
  <si>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6º - p.3]
industrial;  
VII - segurança: utilização de me didas técnicas e administrativas aptas a proteger os dados pessoais 
de acessos não autorizados e de situações acidentais ou ilícitas de destruição, perda, alteração, comunicação 
ou difusão;  
VIII - prevenção: adoção de medidas para prevenir a ocorrência de danos em virtude do tratamento de 
dados pessoais;  
IX - não discriminação: impossibilidade de realização do tratamento para fins discriminatórios ilícitos ou 
abusivos;  
X - responsabilização e prestação de contas: demonstração, pelo agente, da adoção de medi das 
eficazes e capazes de comprovar a observância e o cumprimento das normas de proteção de dados pessoais 
e, inclusive, da eficácia dessas medidas.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(art.5)
[Chunk 4 -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5 -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6 -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7 -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8 -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9 -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10 -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t>
  </si>
  <si>
    <t>Art. 12, Art. 6º, Artigo não identificado, Art. 24, Art. 7º, Art. 55, Art. 10, Art. 5º</t>
  </si>
  <si>
    <t>Art. 12, Art. 6º, Art.5, Art. 24, Art. 7º, Art. 55, Art. 10, Art. 5º</t>
  </si>
  <si>
    <t>Art. 37</t>
  </si>
  <si>
    <t>Não recuperou art. 37</t>
  </si>
  <si>
    <t>A resposta do modelo não aborda a obrigação de registro das operações de tratamento conforme o art. 37 da LGPD e não menciona a relevância dessa obrigação nas hipóteses de legítimo interesse, resultando em erros factuais e omissões significativas.</t>
  </si>
  <si>
    <t>Se uma agência contratada para enviar e-mails decide, por conta própria, usar a base de dados para finalidade diferente da instruída, quem pode ser responsabilizado pelo uso indevido: o contratante ou a agência?</t>
  </si>
  <si>
    <t>O operador que deixar de seguir as instruções lícitas do controlador responde solidariamente pelos danos causados, conforme art. 42, §1º, I da LGPD. Os controladores diretamente envolvidos também respondem solidariamente, nos termos do art. 42, §1º, II.</t>
  </si>
  <si>
    <t>A informação solicitada não foi localizada nos trechos recuperados da LGPD.
Fontes:
Art. 24 (p. 11)
Art. 56 (p. 27)
Art. 55 (p. 26)
Art. 8º (p. 5)
Art. 7º (p. 4)</t>
  </si>
  <si>
    <t xml:space="preserve">
[Chunk 1 -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2 -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3 -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4 -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5 -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6 -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7 -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8 -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9 -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 (Artigo 55-J)
[Chunk 10 -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t>
  </si>
  <si>
    <t>Art. 24, Art. 56, Art. 55, Art. 8º, Art. 7º, Art. 20, Art. 58, Artigo não identificado, Art. 31</t>
  </si>
  <si>
    <t>Art. 24, Art. 56, Art. 55, Art. 8º, Art. 7º, Art. 20, Art. 58, Art.55-J, Art. 31</t>
  </si>
  <si>
    <t>Não recuperou art. 42</t>
  </si>
  <si>
    <t>A resposta do modelo não aborda a questão da responsabilidade do controlador e do operador conforme a LGPD, e não apresenta fundamentação jurídica adequada, resultando em uma resposta completamente inadequada.</t>
  </si>
  <si>
    <t>Ocorreu um incidente de segurança envolvendo dados pessoais na empresa. É obrigatório comunicar a ANPD?</t>
  </si>
  <si>
    <t>A comunicação à autoridade nacional é obrigatória quando o incidente puder acarretar risco ou dano relevante aos titulares, conforme art. 48 da LGPD. É necessário verificar a existência desse risco ou dano.</t>
  </si>
  <si>
    <t>Sim, é obrigatório comunicar à ANPD a ocorrência de incidente de segurança que possa acarretar risco ou dano relevante aos titulares, conforme o Art. 48 da LGPD.
Fontes:
Art. 44 (p. 16)
Art. 55 (p. 26)
Art. 24 (p. 11)
Art. 58 (p. 28)
Art. 55 (p. 24)</t>
  </si>
  <si>
    <t xml:space="preserve">
[Chunk 1 -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2 -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5 -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6 -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7 -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8 -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9 -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10 -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t>
  </si>
  <si>
    <t>Art. 44, Art. 55, Art. 24, Art. 58, Art. 56, Art. 20, Art. 17</t>
  </si>
  <si>
    <t>Art. 48, Art. 55, Art. 24, Art. 58, Art. 56, Art. 20, Art. 17</t>
  </si>
  <si>
    <t>Art.48</t>
  </si>
  <si>
    <t>1.Classificação do Erro: erro_inferencia (falhou em aplicar a estrutura condicional exigida para perguntas incompletas, assumindo que a empresa era controladora e que todo incidente exige reporte).
2.Problema na Infraestrutura (metadata parser): Confirmada a falha de fatiamento (chunking). O texto do Art. 48 está sendo encapsulado com o rótulo de Art. 44. A correção com Regex nos cabeçalhos dos artigos resolverá isso definitivamente.</t>
  </si>
  <si>
    <t>A resposta do modelo está correta, completa e fundamentada, abordando a obrigatoriedade de comunicação à ANPD em caso de risco ou dano relevante aos titulares, conforme o art. 48 da LGPD.</t>
  </si>
  <si>
    <t>A resposta afirma corretamente que é obrigatório comunicar à ANPD a ocorrência de incidente de segurança que possa acarretar risco ou dano relevante aos titulares, conforme o Art. 48 da LGPD, que é mencionado no contexto recuperado.</t>
  </si>
  <si>
    <t>sancoes</t>
  </si>
  <si>
    <t>Qual é o valor máximo que a ANPD pode aplicar como multa simples a uma empresa privada por infração à LGPD?</t>
  </si>
  <si>
    <t>A multa simples pode corresponder a até 2% do faturamento da pessoa jurídica de direito privado no Brasil no último exercício, excluídos os tributos, limitada a R$ 50.000.000,00 por infração, conforme art. 52, II da LGPD.</t>
  </si>
  <si>
    <t>O valor máximo que a ANPD pode aplicar como multa simples a uma empresa privada por infração à LGPD é de até 2% (dois por cento) do faturamento da pessoa jurídica de direito privado, grupo ou conglomerado no Brasil no seu último exercício, limitada, no total, a R$ 50.000.000,00 (cinquenta milhões de reais) por infração.
Fontes:
Art. 53 (p. 19)
Art. 54 (p. 20)
Art. 55 (p. 21)
Art. 55 (p. 23)
Art. 55 (p. 26)</t>
  </si>
  <si>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54 - p.20]
do valor -base das sanções de multa, que deve rão conter fundamentação detalhada de todos os seus 
elementos, demonstrando a observância dos critérios previstos nesta Lei.  
§ 2º O regulamento de sanções e metodologias correspondentes deve estabelecer as circunstâncias e 
as condições para a adoção de mul ta simples ou diária.  
Art. 54. O valor da sanção de multa diária aplicável às infrações a esta Lei deve observar a gravidade 
da falta e a extensão do dano ou prejuízo causado e ser fundamentado pela autoridade nacional.  
Parágrafo único. A intimação da sanç ão de multa diária deverá conter, no mínimo, a descrição da 
obrigação imposta, o prazo razoável e estipulado pelo órgão para o seu cumprimento e o valor da multa diária 
a ser aplicada pelo seu descumprimento.      (Vigência)  
CAPÍTULO IX  
DA AUTORIDADE NACIONAL DE PROTEÇÃO DE DADOS (ANPD) E DO CONSELHO NACIONAL DE 
PROTEÇÃO DE DADOS PESSOAIS E DA PRIVACIDADE  
Seção I  
Da Autoridade Nacional de Proteção de Dados (ANPD)  
CAPÍTULO IX  
(Redação dada pela Medida Provisória nº 1.317, de 2025)  
DA AGÊNCIA NACIONAL DE PROTEÇÃO DE DADOS E DO CONSELHO NACIONAL DE PROTEÇÃO 
DE DADOS PESSOAI S E DA PRIV ACIDADE  
Seção I  
Da Agência Nacional de Proteção de Dados  
Art. 55. (VETADO).  
Art. 55 -A. Fica criada, sem aumento de despesa, a Autoridade Nacional de Proteção de Dados - ANPD, 
órgão da administração pública federal, integrante da Presidência da R epública.  (Incluído pela Medida 
Provisória nº 869, de 2018)  
Art. 55 -B. É assegurada autonomia técnica à ANPD.                 (Incluído pela Medida Provisória nº 869, 
de 2018)  
Art. 55 -C. ANPD é composta por:              (Incluído pela Medida Provisória nº 869, de 2018)  
I - Conselho Diretor, órgão máximo de direção;               (Incluído pela Medida Provis ória nº 869, de 2018)  
II - Conselho Nacional de Proteção de Dados Pessoais e da Privacidade;                   (Incluído pela 
Medida Provisória nº 869, de 2018)
[Chunk 3 -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4 -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5 -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6 -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7 - Art. 51 - p.18]
Art. 51. A autoridade nacional estimulará a adoção de padrões técnicos que facilitem o controle pelos 
titulares dos seus dados pessoais.  
CAPÍTULO VIII  
DA FISCALIZAÇÃO  
Seção I  
Das Sanções Administrativas  
Art. 52. Os agentes de tratamento de dados, em razão das infrações cometidas às normas previstas nesta Lei, ficam 
sujeitos às seguintes sanções administrativas aplicáveis pela autoridade nacional:     (Vigência)  
I - advertência, com indicação de prazo para adoção de medidas corretivas;  
II - multa simples, de até 2% (do is por cento) do faturamento da pessoa jurídica de direito privado, grupo ou 
conglomerado no Brasil no seu último exercício, excluídos os tributos, limitada, no total, a R$ 50.000.000,00 (cinquenta 
milhões de reais) por infração;  
III - multa diária, observ ado o limite total a que se refere o inciso II;  
IV - publicização da infração após devidamente apurada e confirmada a sua ocorrência;  
V - bloqueio dos dados pessoais a que se refere a infração até a sua regularização;  
VI - eliminação dos dados pessoais a q ue se refere a infração;  
VII - (VETADO);  
VIII - (VETADO);  
IX - (VETADO).  
X - (VETADO) ;      (Incluído pela Lei nº 13.853, de 2019)     (Promulgação partes v etadas)  
XI - (VETADO) ;         (Incluído pela Lei nº 13.853, de 2019 )    (Promulgação partes vetadas)  
XII - (VETADO) .        (Incluído pela Lei nº 13.853, de 2019)     (Promulgação partes vetadas)  
X - suspensão parcial do funcionamento do banco de dados a que se refere a infração pelo período máximo de 6 
(seis) meses, prorrogável por igual período, até a regularização da atividade de tratamento pelo controlador;   (Incluído 
pela Lei nº 13.853, de 2019)     
XI - suspensão do exercício da atividade de tratamento dos dados pessoais a que se refere a infração pelo período 
máximo de 6 (seis) meses, prorrog ável por igual período;   (Incluído pela Lei nº 13.853, de 2019)
[Chunk 8 -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9 -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10 -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t>
  </si>
  <si>
    <t>Art. 53, Art. 54, Art. 55, Art. 51, Art. 24</t>
  </si>
  <si>
    <t>Art. 53, Art. 54, Art. 55, Art. 52, Art. 24</t>
  </si>
  <si>
    <t>Art.52</t>
  </si>
  <si>
    <t xml:space="preserve">Resposta correta, erro metadata parser(art.52 encapsulado dentro do art.51)
</t>
  </si>
  <si>
    <t>A resposta do modelo está correta em relação aos valores e limites da multa, mas não apresenta a fundamentação jurídica adequada, que deveria incluir a referência ao artigo específico da LGPD mencionado no gabarito.</t>
  </si>
  <si>
    <t>A resposta está fundamentada no contexto, pois menciona que a multa simples pode ser de até 2% do faturamento da empresa, limitada a R$ 50.000.000,00, conforme o Art. 52 do contexto recuperado.</t>
  </si>
  <si>
    <t>As sanções de multa simples e multa diária previstas na LGPD podem ser aplicadas a órgãos públicos ou há vedação para penalidades pecuniárias nesses casos?</t>
  </si>
  <si>
    <t>As sanções de multa simples e multa diária não se aplicam a entidades e órgãos públicos, conforme art. 52, §3º da LGPD. Nessas hipóteses, aplicam-se apenas as demais sanções previstas na lei.</t>
  </si>
  <si>
    <t>A informação solicitada não foi localizada nos trechos recuperados da LGPD.
Fontes:
Art. 53 (p. 19)
Art. 54 (p. 20)
Página 2 (artigo não identificado no chunk)
Art. 55 (p. 21)
Página 25 (artigo não identificado no chunk)</t>
  </si>
  <si>
    <t xml:space="preserve">
[Chunk 1 - Art. 53 - p.19]
a infrações a esta Lei, que deverá ser objeto de consulta pública, as metodologias que orientarão o cálculo 
do valor -base das sanções de multa.      (Vigência)  
§ 1º As metodologias a que se refere o  caput  deste artigo devem ser previamente publicadas, para 
ciência dos agentes de tratamento, e devem apresentar objetivamente as formas e dosimetrias para o cálculo
[Chunk 2 - Art. 54 - p.20]
do valor -base das sanções de multa, que deve rão conter fundamentação detalhada de todos os seus 
elementos, demonstrando a observância dos critérios previstos nesta Lei.  
§ 2º O regulamento de sanções e metodologias correspondentes deve estabelecer as circunstâncias e 
as condições para a adoção de mul ta simples ou diária.  
Art. 54. O valor da sanção de multa diária aplicável às infrações a esta Lei deve observar a gravidade 
da falta e a extensão do dano ou prejuízo causado e ser fundamentado pela autoridade nacional.  
Parágrafo único. A intimação da sanç ão de multa diária deverá conter, no mínimo, a descrição da 
obrigação imposta, o prazo razoável e estipulado pelo órgão para o seu cumprimento e o valor da multa diária 
a ser aplicada pelo seu descumprimento.      (Vigência)  
CAPÍTULO IX  
DA AUTORIDADE NACIONAL DE PROTEÇÃO DE DADOS (ANPD) E DO CONSELHO NACIONAL DE 
PROTEÇÃO DE DADOS PESSOAIS E DA PRIVACIDADE  
Seção I  
Da Autoridade Nacional de Proteção de Dados (ANPD)  
CAPÍTULO IX  
(Redação dada pela Medida Provisória nº 1.317, de 2025)  
DA AGÊNCIA NACIONAL DE PROTEÇÃO DE DADOS E DO CONSELHO NACIONAL DE PROTEÇÃO 
DE DADOS PESSOAI S E DA PRIV ACIDADE  
Seção I  
Da Agência Nacional de Proteção de Dados  
Art. 55. (VETADO).  
Art. 55 -A. Fica criada, sem aumento de despesa, a Autoridade Nacional de Proteção de Dados - ANPD, 
órgão da administração pública federal, integrante da Presidência da R epública.  (Incluído pela Medida 
Provisória nº 869, de 2018)  
Art. 55 -B. É assegurada autonomia técnica à ANPD.                 (Incluído pela Medida Provisória nº 869, 
de 2018)  
Art. 55 -C. ANPD é composta por:              (Incluído pela Medida Provisória nº 869, de 2018)  
I - Conselho Diretor, órgão máximo de direção;               (Incluído pela Medida Provis ória nº 869, de 2018)  
II - Conselho Nacional de Proteção de Dados Pessoais e da Privacidade;                   (Incluído pela 
Medida Provisória nº 869, de 2018)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(art. 5)
[Chunk 4 -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5 -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 (55-J)
[Chunk 6 - Art. 6º - p.3]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e                  (Redação dada pela Medida 
Provisória nº 869, de 2018)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 tivo social ou estatutário a pesquisa básica ou aplicada de caráter histórico, 
científico, tecnológico ou estatístico; e      (Redação dada pela Lei nº 13.853, de 2019)      Vigência  
XIX - autoridade nacional: órgão da administração pública indireta responsável por zelar, implementar 
e fiscalizar o cumprimento desta Lei.  
XIX - autoridade nacional: órgão da administração pública responsável por zelar, implementar e 
fiscalizar o cumprimento desta Lei.                (Redação dada pel a Medida Provisória nº 869, de 2018)  
XIX - autoridade nacional: órgão da administração pública responsável por zelar, implementar e fiscalizar o 
cumprimento desta Lei em todo o território nacional.      (Redação dada pela Lei nº 13.853, de 2019)     Vigência
[Chunk 7 -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8 -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9 -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10 -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t>
  </si>
  <si>
    <t>Art. 53, Art. 54, Artigo não identificado, Art. 55, Art. 6º, Art. 24, Art. 35, Art. 7º, Art. 49</t>
  </si>
  <si>
    <t>Art. 53, Art. 54, Art.5, Art. 55, Art. 6º, Art. 24, Art. 35, Art. 7º, Art. 49</t>
  </si>
  <si>
    <t>Não recuperou art. 52</t>
  </si>
  <si>
    <t>A resposta do modelo não aborda a questão das sanções de multa simples e multa diária em relação aos órgãos públicos, omitindo informações essenciais e não apresentando fundamentação jurídica adequada.</t>
  </si>
  <si>
    <t>A ANPD pode aplicar diretamente a sanção de proibição total do exercício de atividades relacionadas ao tratamento de dados ou a LGPD exige gradação prévia de penalidades?</t>
  </si>
  <si>
    <t>A proibição total do exercício de atividades relacionadas ao tratamento de dados somente pode ser aplicada após já ter sido imposta ao menos uma das sanções anteriores para o mesmo caso concreto, conforme art. 52, §6º, I da LGPD.</t>
  </si>
  <si>
    <t>A LGPD exige gradação prévia de penalidades, pois as sanções serão aplicadas após procedimento administrativo que possibilite a oportunidade da ampla defesa, de forma gradativa, isolada ou cumulativa, de acordo com as peculiaridades do caso concreto.
Fontes:
Art. 55 (p. 24)
Página 2 (artigo não identificado no chunk)
Art. 17 (p. 9)
Art. 6º (p. 3)
Art. 51 (p. 18)</t>
  </si>
  <si>
    <t xml:space="preserve">
[Chunk 1 -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2 -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(art.5)
[Chunk 3 -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4 - Art. 6º - p.3]
industrial;  
VII - segurança: utilização de me didas técnicas e administrativas aptas a proteger os dados pessoais 
de acessos não autorizados e de situações acidentais ou ilícitas de destruição, perda, alteração, comunicação 
ou difusão;  
VIII - prevenção: adoção de medidas para prevenir a ocorrência de danos em virtude do tratamento de 
dados pessoais;  
IX - não discriminação: impossibilidade de realização do tratamento para fins discriminatórios ilícitos ou 
abusivos;  
X - responsabilização e prestação de contas: demonstração, pelo agente, da adoção de medi das 
eficazes e capazes de comprovar a observância e o cumprimento das normas de proteção de dados pessoais 
e, inclusive, da eficácia dessas medidas.
[Chunk 5 - Art. 51 - p.18]
pela Lei nº 13.853, de 2019)     
XI - suspensão do exercício da atividade de tratamento dos dados pessoais a que se refere a infração pelo período 
máximo de 6 (seis) meses, prorrog ável por igual período;   (Incluído pela Lei nº 13.853, de 2019)    
XII - proibição parcial ou total do exercício de atividades relacionadas a tratamento de dados.   (Incluído pela Lei 
nº 13.853, de 2019)     
§ 1º As sanções serão aplicadas após procedimento administrativo que possibilite a oportunidade da ampla defesa, 
de for ma gradativa, isolada ou cumulativa, de acordo com as peculiaridades do caso concreto e considerados os seguintes 
parâmetros e critérios:  
I - a gravidade e a natureza das infrações e dos direitos pessoais afetados;  
II - a boa -fé do infrator;  
III - a vantag em auferida ou pretendida pelo infrator;  
IV - a condição econômica do infrator;  
V - a reincidência;  
VI - o grau do dano;  
VII - a cooperação do infrator;
[Chunk 6 -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7 - Artigo não identificado - p.2]
13.853, de 2019)      Vigência  
VIII - encarregado: pessoa indicada pelo controlador e operador para atuar como canal de comunicação entre o 
controlador, os titulares dos dados e a Agê ncia Nacional de Proteção de Dados – ANPD;     (Redação dada pela Medida 
Provisória nº 1.317, de 2025)  
IX - agentes de tratamento: o controlador e o operador;  
X - tratamento: toda operação realizada com dados pessoais, como as que se referem a coleta, 
produção, recepção, classificação, utilização, acesso, reprodução, transmissão, distribuição, processamento, 
arquivamento, armazenamento, eliminação, avaliação ou con trole da informação, modificação, comunicação, 
transferência, difusão ou extração;  
XI - anonimização: utilização de meios técnicos razoáveis e disponíveis no momento do tratamento, por 
meio dos quais um dado perde a possibilidade de associação, direta ou i ndireta, a um indivíduo;  
XII - consentimento: manifestação livre, informada e inequívoca pela qual o titular concorda com o 
tratamento de seus dados pessoais para uma finalidade determinada;  
XIII - bloqueio: suspensão temporária de qualquer operação de tra tamento, mediante guarda do dado 
pessoal ou do banco de dados;  
XIV - eliminação: exclusão de dado ou de conjunto de dados armazenados em banco de dados, 
independentemente do procedimento empregado;  
XV - transferência internacional de dados: transferência d e dados pessoais para país estrangeiro ou 
organismo internacional do qual o país seja membro;  
XVI - uso compartilhado de dados: comunicação, difusão, transferência internacional, interconexão de 
dados pessoais ou tratamento compartilhado de bancos de dados  pessoais por órgãos e entidades públicos 
no cumprimento de suas competências legais, ou entre esses e entes privados, reciprocamente, com 
autorização específica, para uma ou mais modalidades de tratamento permitidas por esses entes públicos, 
ou entre ente s privados;
[Chunk 8 -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 (art.5)
[Chunk 9 -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10 -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t>
  </si>
  <si>
    <t>Art. 55, Artigo não identificado, Art. 17, Art. 6º, Art. 51, Art. 12, Art. 58, Art. 41, Art. 56</t>
  </si>
  <si>
    <t>Art. 55, Art.5, Art. 17, Art. 6º, Art. 52, Art. 12, Art. 58, Art. 41, Art. 56</t>
  </si>
  <si>
    <t>Resposta genérica sobre gradação, não abordou a proibição total especificamente porque não recuperou § 6º do Artigo 52; artigo 52 rotulado como art. 51 mas insufiente para responder a pergunta, erro de matadata</t>
  </si>
  <si>
    <t>A resposta do modelo menciona a gradação prévia de penalidades, mas não aborda a necessidade de que a proibição total só pode ser aplicada após sanções anteriores, conforme o gabarito. A fundamentação jurídica é apresentada, mas a resposta carece de elementos essenciais do gabarito.</t>
  </si>
  <si>
    <t>A resposta afirma que a LGPD exige gradação prévia de penalidades, o que é corroborado pelo trecho do contexto que menciona que as sanções serão aplicadas após procedimento administrativo que possibilite a ampla defesa, de forma gradativa, isolada ou cumulativa, de acordo com as peculiaridades do caso concreto.</t>
  </si>
  <si>
    <t>Se uma empresa já foi multada por outro órgão por um vazamento de dados, a ANPD ainda pode aplicar nova sanção administrativa pelo mesmo fato?</t>
  </si>
  <si>
    <t>As sanções previstas na LGPD não substituem outras sanções administrativas, civis ou penais previstas em legislação específica, conforme art. 52, §2º. Compete exclusivamente à ANPD aplicar as sanções previstas na própria LGPD, nos termos do art. 55-K.</t>
  </si>
  <si>
    <t>A informação solicitada não foi localizada nos trechos recuperados da LGPD.
Fontes:
Art. 55 (p. 26)
Art. 17 (p. 9)
Art. 24 (p. 11)
Art. 44 (p. 16)
Art. 31 (p. 13)</t>
  </si>
  <si>
    <t xml:space="preserve">
[Chunk 1 -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2 -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5 -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6 -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7 - Artigo não identificado - p.2]
13.853, de 2019)      Vigência  
VIII - encarregado: pessoa indicada pelo controlador e operador para atuar como canal de comunicação entre o 
controlador, os titulares dos dados e a Agê ncia Nacional de Proteção de Dados – ANPD;     (Redação dada pela Medida 
Provisória nº 1.317, de 2025)  
IX - agentes de tratamento: o controlador e o operador;  
X - tratamento: toda operação realizada com dados pessoais, como as que se referem a coleta, 
produção, recepção, classificação, utilização, acesso, reprodução, transmissão, distribuição, processamento, 
arquivamento, armazenamento, eliminação, avaliação ou con trole da informação, modificação, comunicação, 
transferência, difusão ou extração;  
XI - anonimização: utilização de meios técnicos razoáveis e disponíveis no momento do tratamento, por 
meio dos quais um dado perde a possibilidade de associação, direta ou i ndireta, a um indivíduo;  
XII - consentimento: manifestação livre, informada e inequívoca pela qual o titular concorda com o 
tratamento de seus dados pessoais para uma finalidade determinada;  
XIII - bloqueio: suspensão temporária de qualquer operação de tra tamento, mediante guarda do dado 
pessoal ou do banco de dados;  
XIV - eliminação: exclusão de dado ou de conjunto de dados armazenados em banco de dados, 
independentemente do procedimento empregado;  
XV - transferência internacional de dados: transferência d e dados pessoais para país estrangeiro ou 
organismo internacional do qual o país seja membro;  
XVI - uso compartilhado de dados: comunicação, difusão, transferência internacional, interconexão de 
dados pessoais ou tratamento compartilhado de bancos de dados  pessoais por órgãos e entidades públicos 
no cumprimento de suas competências legais, ou entre esses e entes privados, reciprocamente, com 
autorização específica, para uma ou mais modalidades de tratamento permitidas por esses entes públicos,
ou entre ente s privados;
[Chunk 8 -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9 -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10 -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t>
  </si>
  <si>
    <t>Art. 55, Art. 17, Art. 24, Art. 44, Art. 31, Artigo não identificado, Art. 58, Art. 35, Art. 8º</t>
  </si>
  <si>
    <t>Art. 55-K, Art. 17, Art. 24, Art. 44, Art. 31, Art.5, Art. 58, Art. 35, Art. 8º</t>
  </si>
  <si>
    <t>Art.52, Art.55-K</t>
  </si>
  <si>
    <t>Recuperou art 55-K mas não 52, §2º</t>
  </si>
  <si>
    <t>A resposta do modelo não aborda os pontos essenciais do gabarito, como a possibilidade de sanções administrativas pela ANPD e a relação com outras sanções, além de não apresentar fundamentação jurídica adequada.</t>
  </si>
  <si>
    <t>Uma empresa cometeu uma infração grave à LGPD. Qual será o valor exato da multa considerando a alíquota de 2% prevista na lei?</t>
  </si>
  <si>
    <t>Não é possível determinar o valor exato sem o faturamento da empresa no último exercício, excluídos os tributos. A multa pode ser de até 2% do faturamento, limitada a R$ 50.000.000,00 por infração, conforme art. 52, II da LGPD.</t>
  </si>
  <si>
    <t>A informação solicitada não foi localizada nos trechos recuperados da LGPD.
Fontes:
Art. 53 (p. 19)
Art. 55 (p. 22)
Art. 51 (p. 18)
Art. 54 (p. 20)
Art. 24 (p. 11)</t>
  </si>
  <si>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3 - Art. 51 - p.18]
Art. 51. A autoridade nacional estimulará a adoção de padrões técnicos que facilitem o controle pelos 
titulares dos seus dados pessoais.  
CAPÍTULO VIII  
DA FISCALIZAÇÃO  
Seção I  
Das Sanções Administrativas  
Art. 52. Os agentes de tratamento de dados, em razão das infrações cometidas às normas previstas nesta Lei, ficam 
sujeitos às seguintes sanções administrativas aplicáveis pela autoridade nacional:     (Vigência)  
I - advertência, com indicação de prazo para adoção de medidas corretivas;  
II - multa simples, de até 2% (do is por cento) do faturamento da pessoa jurídica de direito privado, grupo ou 
conglomerado no Brasil no seu último exercício, excluídos os tributos, limitada, no total, a R$ 50.000.000,00 (cinquenta 
milhões de reais) por infração;  
III - multa diária, observ ado o limite total a que se refere o inciso II;  
IV - publicização da infração após devidamente apurada e confirmada a sua ocorrência;  
V - bloqueio dos dados pessoais a que se refere a infração até a sua regularização;  
VI - eliminação dos dados pessoais a q ue se refere a infração;  
VII - (VETADO);  
VIII - (VETADO);  
IX - (VETADO).  
X - (VETADO) ;      (Incluído pela Lei nº 13.853, de 2019)     (Promulgação partes v etadas)  
XI - (VETADO) ;         (Incluído pela Lei nº 13.853, de 2019 )    (Promulgação partes vetadas)  
XII - (VETADO) .        (Incluído pela Lei nº 13.853, de 2019)     (Promulgação partes vetadas)  
X - suspensão parcial do funcionamento do banco de dados a que se refere a infração pelo período máximo de 6 
(seis) meses, prorrogável por igual período, até a regularização da atividade de tratamento pelo controlador;   (Incluído 
pela Lei nº 13.853, de 2019)     
XI - suspensão do exercício da atividade de tratamento dos dados pessoais a que se refere a infração pelo período 
máximo de 6 (seis) meses, prorrog ável por igual período;   (Incluído pela Lei nº 13.853, de 2019)
[Chunk 4 - Art. 54 - p.20]
do valor -base das sanções de multa, que deve rão conter fundamentação detalhada de todos os seus 
elementos, demonstrando a observância dos critérios previstos nesta Lei.  
§ 2º O regulamento de sanções e metodologias correspondentes deve estabelecer as circunstâncias e 
as condições para a adoção de mul ta simples ou diária.  
Art. 54. O valor da sanção de multa diária aplicável às infrações a esta Lei deve observar a gravidade 
da falta e a extensão do dano ou prejuízo causado e ser fundamentado pela autoridade nacional.  
Parágrafo único. A intimação da sanç ão de multa diária deverá conter, no mínimo, a descrição da 
obrigação imposta, o prazo razoável e estipulado pelo órgão para o seu cumprimento e o valor da multa diária 
a ser aplicada pelo seu descumprimento.      (Vigência)  
CAPÍTULO IX  
DA AUTORIDADE NACIONAL DE PROTEÇÃO DE DADOS (ANPD) E DO CONSELHO NACIONAL DE 
PROTEÇÃO DE DADOS PESSOAIS E DA PRIVACIDADE  
Seção I  
Da Autoridade Nacional de Proteção de Dados (ANPD)  
CAPÍTULO IX  
(Redação dada pela Medida Provisória nº 1.317, de 2025)  
DA AGÊNCIA NACIONAL DE PROTEÇÃO DE DADOS E DO CONSELHO NACIONAL DE PROTEÇÃO 
DE DADOS PESSOAI S E DA PRIV ACIDADE  
Seção I  
Da Agência Nacional de Proteção de Dados  
Art. 55. (VETADO).  
Art. 55 -A. Fica criada, sem aumento de despesa, a Autoridade Nacional de Proteção de Dados - ANPD, 
órgão da administração pública federal, integrante da Presidência da R epública.  (Incluído pela Medida 
Provisória nº 869, de 2018)  
Art. 55 -B. É assegurada autonomia técnica à ANPD.                 (Incluído pela Medida Provisória nº 869, 
de 2018)  
Art. 55 -C. ANPD é composta por:              (Incluído pela Medida Provisória nº 869, de 2018)  
I - Conselho Diretor, órgão máximo de direção;               (Incluído pela Medida Provis ória nº 869, de 2018)  
II - Conselho Nacional de Proteção de Dados Pessoais e da Privacidade;                   (Incluído pela 
Medida Provisória nº 869, de 2018)
[Chunk 5 -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6 -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7 -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8 -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9 -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10 - Artigo não identificado - p.25]
XVI - realizar auditorias, ou determinar sua realização, no âmbito da atividade de fiscalização de que trata o inciso 
IV e com a devida observância do disposto no inciso II do  caput  deste artigo, sobre o tratamento de dados pessoais 
efetuado pelos agentes de tratamento, incluído o poder público;                   (Incluído pela Lei nº 13.853, de 2019)  
XVII - celebrar, a qualquer momento, compromisso com agentes de tratamento para eliminar irregularidade, 
incerteza jurídica ou situação contenciosa no âmbito de processos administrativos, de acordo com o previsto no Decreto -
Lei nº 4.657, de 4 de setembro de 1942;                  (Incluído pela Lei nº 13.853, de 2019)  
XVIII - editar normas, orientações e procedimentos simplifi cados e diferenciados, inclusive quanto aos prazos, 
para que microempresas e empresas de pequeno porte, bem como iniciativas empresariais de caráter incremental ou 
disruptivo que se autodeclarem  startups  ou empresas de inovação, possam adequar -se a esta Le i;                 (Incluído pela 
Lei nº 13.853, de 2019)  
XIX - garantir que o tratamento de dados de idosos seja efetuado de maneira simples, clara, acessível e adequada 
ao seu entendimento, nos termos desta Lei e da  Lei nº 10.741, de 1º de outubro de 2003 (Estatuto do 
Idoso) ;                (Incluído pela Lei nº 13.853, de 2019)  
XX - deliberar, na esfera administrativa, em caráter terminativo, sobre a interpretação desta Lei, as suas 
competências e os casos omissos;                   (Incluído pela Lei nº 13.853, de 2019)  
XXI - comunicar às autoridades competentes as infrações penais das quais tiver conhecimento;                  (Incluído 
pela Lei nº 13.853, de 2019)  
XXII - comunicar aos órgãos de controle interno o descumprimento do disposto nesta Lei por órgãos e entidades 
da administração pública federal;                  (Incluído pela Lei nº 13.853, de 2019) - (art. 55-J)
</t>
  </si>
  <si>
    <t>Art. 53, Art. 55, Art. 51, Art. 54, Art. 24, Artigo não identificado</t>
  </si>
  <si>
    <t>Art. 53, Art. 55, Art. 52, Art. 54, Art. 24, Art.55-J</t>
  </si>
  <si>
    <t>Erro metadata parser; recuperou art. 52, II mas nomeou como 51 nos chunks</t>
  </si>
  <si>
    <t>A resposta do modelo não aborda a questão da multa prevista na LGPD e não fornece informações sobre a necessidade do faturamento da empresa, que são essenciais para a resposta correta.</t>
  </si>
  <si>
    <t>fora_de_escopo</t>
  </si>
  <si>
    <t>juridica_relacionada</t>
  </si>
  <si>
    <t>A LGPD regula a cobrança de impostos federais?</t>
  </si>
  <si>
    <t>Pergunta fora do escopo da LGPD. A lei trata da proteção de dados pessoais e não regula matéria tributária.</t>
  </si>
  <si>
    <t>A informação solicitada não foi localizada nos trechos recuperados da LGPD.
Fontes:
Art. 55 (p. 24)
Página 25 (artigo não identificado no chunk)
Art. 35 (p. 14)
Art. 17 (p. 9)</t>
  </si>
  <si>
    <t xml:space="preserve">
[Chunk 1 -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2 -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3 -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4 -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5 - Art. 17 - p.9]
§ 2º O titular pode opor -se a tratamento realizado com fundamento em uma das hipóteses de dispensa 
de consentimento, em caso de descumprimento ao disposto nesta Lei.  
§ 3º Os direitos previstos neste artigo s erão exercidos mediante requerimento expresso do titular ou de 
representante legalmente constituído, a agente de tratamento.  
§ 4º Em caso de impossibilidade de adoção imediata da providência de que trata o § 3º deste artigo, o 
controlador enviará ao titula r resposta em que poderá:  
I - comunicar que não é agente de tratamento dos dados e indicar, sempre que possível, o agente; ou  
II - indicar as razões de fato ou de direito que impedem a adoção imediata da providência.  
§ 5º O requerimento referido no § 3º de ste artigo será atendido sem custos para o titular, nos prazos e 
nos termos previstos em regulamento.  
§ 6º O responsável deverá informar, de maneira imediata, aos agentes de tratamento com os quais tenha realizado 
uso compartilhado de dados a correção, a e liminação, a anonimização ou o bloqueio dos dados, para que repitam idêntico 
procedimento, exceto nos casos em que esta comunicação seja comprovadamente impossível ou implique esforço 
desproporcional.       (Redação dada pela Lei nº 13.853, de 2019)       Vigência  
§ 7º A portabilidade dos dados pessoais a que se refere o inciso V do  caput  deste artigo não inclui dados 
que já tenham sido anonimizados pelo controlador.  
§ 8º O direito a que se refere o § 1º deste artigo também poderá ser exercido perante os organismos de 
defesa do consumidor.  
Art. 19. A confirmação de existên cia ou o acesso a dados pessoais serão providenciados, mediante 
requisição do titular:
[Chunk 6 -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7 -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8 -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9 - Art. 54 - p.20]
I - Conselho Diretor, órgão máximo de direção;               (Incluído pela Medida Provis ória nº 869, de 2018)  
II - Conselho Nacional de Proteção de Dados Pessoais e da Privacidade;                   (Incluído pela 
Medida Provisória nº 869, de 2018)  
III - Corregedoria;                     (Incluído pela Medida Provisória nº 869, de 2018)  
IV - Ouvidoria;                  (Incluído pela Medida Provisória nº 869, de 2018)  
V - órgão de assessoramento jurídico próprio; e                   (Incluído pela Medida Provisória nº 869, de 
2018)  
VI - unidades administrativas e unidades especializadas necessárias à aplicação do disposto nesta 
Lei.”            (Incluído pela Medida Provisória nº 869, de 2018)  
Art. 55 -D. O Conselho Diretor da ANPD será composto por cinco diretores, incluído o Diretor -
Presidente.                (Incluído pela Medida Provisória nº 869, de 2018)  
§ 1º Os membros do Conselho Diretor da ANPD serão nomeados pelo Presidente da República e 
ocuparão cargo em comissão do Grupo -Direção e Assessoramento Superior - DAS de nível 
5.                (Incluído pela Medida Provisória nº 869, de 2018)  
§ 2º Os membros do Conselho Diretor serão escolhidos dentre brasileiros, de reputação ilibada, com 
nível superio r de educação e elevado conceito no campo de especialidade dos cargos para os quais serão 
nomeados.               (Incluído pela Medida Provisória nº 869, de 2018)  
§ 3º O mandato dos membros do Conselho Diretor será de quatro anos.                  (Incluído pela Medida 
Provisória nº 869, de 2018)
[Chunk 10 -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t>
  </si>
  <si>
    <t>Art. 55, Artigo não identificado, Art. 35, Art. 17, Art. 54, Art. 49</t>
  </si>
  <si>
    <t>Art. 55, Art.55-J, Art. 35, Art. 17, Art. 54, Art. 49</t>
  </si>
  <si>
    <t>Fallback adequado para pergunta fora de escopo.</t>
  </si>
  <si>
    <t>A resposta do modelo não aborda a questão central sobre a LGPD e sua relação com a cobrança de impostos, omitindo a informação essencial de que a lei não regula matéria tributária.</t>
  </si>
  <si>
    <t>A LGPD define regras sobre contratos de trabalho?</t>
  </si>
  <si>
    <t>Pergunta fora do escopo da LGPD. A lei regula o tratamento de dados pessoais, não normas gerais de direito do trabalho.</t>
  </si>
  <si>
    <t>A informação solicitada não foi localizada nos trechos recuperados da LGPD.
Fontes:
Art. 55 (p. 24)
Art. 55 (p. 26)
Art. 55 (p. 22)
Art. 35 (p. 14)</t>
  </si>
  <si>
    <t xml:space="preserve">
[Chunk 1 -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2 -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3 -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4 -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5 -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6 -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7 -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8 - Art. 27 - p.12]
e outros detalhes do tratamento realizado e poderá emitir parecer técnico complementar para garantir o cumprimento desta 
Lei.        (Redação dada pela Lei nº 13.853, de 2019)      Vigência  
Art. 30. A autoridade nacional poderá estabelecer normas complementares para as atividades de 
comunicação e de uso compartilhado de dados pessoais.
[Chunk 9 -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10 -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t>
  </si>
  <si>
    <t>Art. 55, Art. 35, Art. 10, Artigo não identificado, Art. 27, Art. 12, Art. 20</t>
  </si>
  <si>
    <t>Art. 55, Art. 35, Art. 10, Art.55-J, Art. 27, Art. 12, Art. 20</t>
  </si>
  <si>
    <t>A resposta do modelo não aborda a questão sobre a LGPD e contratos de trabalho, omitindo a informação essencial de que a lei regula o tratamento de dados pessoais e não normas de direito do trabalho.</t>
  </si>
  <si>
    <t>ambigua_juridica</t>
  </si>
  <si>
    <t>A LGPD pode ser usada para anular uma dívida?</t>
  </si>
  <si>
    <t>Pergunta fora do escopo da LGPD. A lei trata de proteção de dados pessoais e não regula validade de dívidas ou obrigações financeiras.</t>
  </si>
  <si>
    <t>A informação solicitada não foi localizada nos trechos recuperados da LGPD.
Fontes:
Art. 55 (p. 22)
Art. 55 (p. 24)
Art. 55 (p. 26)
Art. 5º (p. 1)</t>
  </si>
  <si>
    <t xml:space="preserve">
[Chunk 1 -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2 -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3 -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4 -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5 -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6 -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7 -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8 -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9 -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10 - Art. 6º - p.3]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e                  (Redação dada pela Medida 
Provisória nº 869, de 2018)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 tivo social ou estatutário a pesquisa básica ou aplicada de caráter histórico, 
científico, tecnológico ou estatístico; e      (Redação dada pela Lei nº 13.853, de 2019)      Vigência  
XIX - autoridade nacional: órgão da administração pública indireta responsável por zelar, implementar 
e fiscalizar o cumprimento desta Lei.  
XIX - autoridade nacional: órgão da administração pública responsável por zelar, implementar e 
fiscalizar o cumprimento desta Lei.                (Redação dada pel a Medida Provisória nº 869, de 2018)  
XIX - autoridade nacional: órgão da administração pública responsável por zelar, implementar e fiscalizar o 
cumprimento desta Lei em todo o território nacional.      (Redação dada pela Lei nº 13.853, de 2019)     Vigência
</t>
  </si>
  <si>
    <t>Art. 55, Art. 5º, Art. 53, Art. 6º</t>
  </si>
  <si>
    <t>A resposta do modelo não aborda a questão da LGPD em relação à anulação de dívidas, omitindo a informação essencial de que a lei não regula a validade de dívidas ou obrigações financeiras.</t>
  </si>
  <si>
    <t>tema_publico</t>
  </si>
  <si>
    <t>A LGPD estabelece regras para campanhas eleitorais?</t>
  </si>
  <si>
    <t>Pergunta fora do escopo normativo principal. A LGPD trata do tratamento de dados pessoais, não regula diretamente normas eleitorais.</t>
  </si>
  <si>
    <t>A informação solicitada não foi localizada nos trechos recuperados da LGPD.
Fontes:
Art. 55 (p. 24)
Art. 55 (p. 21)
Art. 55 (p. 22)
Art. 49 (p. 17)</t>
  </si>
  <si>
    <t xml:space="preserve">
[Chunk 1 -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2 -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3 -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4 -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5 -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6 -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7 -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8 -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9 -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10 -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t>
  </si>
  <si>
    <t>Art. 55, Art. 49, Artigo não identificado, Art. 10</t>
  </si>
  <si>
    <t>Art. 55, Art. 49, Art.55-J, Art. 10</t>
  </si>
  <si>
    <t>A resposta do modelo não aborda a questão central sobre a relação da LGPD com campanhas eleitorais, omitindo a informação de que a LGPD não regula diretamente normas eleitorais, conforme esperado no gabarito.</t>
  </si>
  <si>
    <t>tecnologia_geral</t>
  </si>
  <si>
    <t>A LGPD obriga empresas a utilizarem criptografia em seus sistemas?</t>
  </si>
  <si>
    <t>Pergunta fora do escopo específico. A LGPD estabelece princípios e deveres de segurança, mas não impõe tecnologia específica como criptografia obrigatória.</t>
  </si>
  <si>
    <t>A informação solicitada não foi localizada nos trechos recuperados da LGPD.
Fontes:
Art. 44 (p. 16)
Art. 53 (p. 19)
Art. 20 (p. 10)
Art. 55 (p. 26)
Art. 55 (p. 24)</t>
  </si>
  <si>
    <t xml:space="preserve">
[Chunk 1 -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2 -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3 -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4 -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5 -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6 -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7 -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8 -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9 -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10 -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t>
  </si>
  <si>
    <t>Art. 44, Art. 53, Art. 20, Art. 55, Art. 24</t>
  </si>
  <si>
    <t>A resposta do modelo não aborda a questão central sobre a obrigatoriedade da criptografia na LGPD, omitindo elementos jurídicos importantes e não apresenta fundamentação adequada.</t>
  </si>
  <si>
    <t>A resposta afirma que a informação não foi localizada nos trechos recuperados, sem adicionar conteúdo externo.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</si>
</sst>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sz val="12.0"/>
      <color theme="1"/>
      <name val="Calibri"/>
      <scheme val="minor"/>
    </font>
    <font>
      <color theme="1"/>
      <name val="Calibri"/>
      <scheme val="minor"/>
    </font>
    <font>
      <color rgb="FF000000"/>
      <name val="Calibri"/>
      <scheme val="minor"/>
    </font>
    <font>
      <sz val="11.0"/>
      <color theme="1"/>
      <name val="Calibri"/>
    </font>
  </fonts>
  <fills count="4">
    <fill>
      <patternFill patternType="none"/>
    </fill>
    <fill>
      <patternFill patternType="lightGray"/>
    </fill>
    <fill>
      <patternFill patternType="solid">
        <fgColor rgb="FFC9DAF8"/>
        <bgColor rgb="FFC9DAF8"/>
      </patternFill>
    </fill>
    <fill>
      <patternFill patternType="solid">
        <fgColor rgb="FFEAD1DC"/>
        <bgColor rgb="FFEAD1D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0" fillId="2" fontId="2" numFmtId="0" xfId="0" applyFont="1"/>
    <xf borderId="0" fillId="0" fontId="3"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5" numFmtId="0" xfId="0" applyAlignment="1" applyFont="1">
      <alignment horizontal="center" readingOrder="0" vertical="center"/>
    </xf>
    <xf borderId="0" fillId="0" fontId="5" numFmtId="0" xfId="0" applyAlignment="1" applyFont="1">
      <alignment horizontal="center" shrinkToFit="0" vertical="center" wrapText="1"/>
    </xf>
    <xf borderId="0" fillId="0" fontId="5" numFmtId="0" xfId="0" applyAlignment="1" applyFont="1">
      <alignment horizontal="center" vertical="center"/>
    </xf>
    <xf borderId="0" fillId="3" fontId="3" numFmtId="0" xfId="0" applyAlignment="1" applyFill="1" applyFont="1">
      <alignment horizontal="center" shrinkToFit="0" vertical="center" wrapText="1"/>
    </xf>
    <xf borderId="0" fillId="3" fontId="3" numFmtId="0" xfId="0" applyAlignment="1" applyFont="1">
      <alignment horizontal="left" shrinkToFit="0" vertical="center" wrapText="1"/>
    </xf>
    <xf borderId="0" fillId="3" fontId="4"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0" fillId="3" fontId="5" numFmtId="0" xfId="0" applyAlignment="1" applyFont="1">
      <alignment horizontal="center" readingOrder="0" vertical="center"/>
    </xf>
    <xf borderId="0" fillId="3" fontId="5" numFmtId="0" xfId="0" applyAlignment="1" applyFont="1">
      <alignment horizontal="center" shrinkToFit="0" vertical="center" wrapText="1"/>
    </xf>
    <xf borderId="0" fillId="3" fontId="3" numFmtId="0" xfId="0" applyFont="1"/>
    <xf borderId="0" fillId="0" fontId="5" numFmtId="0" xfId="0" applyAlignment="1" applyFont="1">
      <alignment horizontal="left" readingOrder="0" shrinkToFit="0" vertical="center" wrapText="1"/>
    </xf>
    <xf borderId="0" fillId="0" fontId="3" numFmtId="0" xfId="0" applyAlignment="1" applyFont="1">
      <alignment horizontal="left"/>
    </xf>
    <xf borderId="0" fillId="0" fontId="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14"/>
    <col customWidth="1" min="2" max="2" width="18.43"/>
    <col customWidth="1" min="3" max="3" width="18.86"/>
    <col customWidth="1" min="4" max="4" width="69.14"/>
    <col customWidth="1" min="5" max="5" width="83.0"/>
    <col customWidth="1" min="6" max="6" width="80.86"/>
    <col customWidth="1" min="7" max="7" width="18.29"/>
    <col customWidth="1" min="8" max="8" width="73.71"/>
    <col customWidth="1" min="9" max="9" width="60.71"/>
    <col customWidth="1" min="10" max="10" width="49.0"/>
    <col customWidth="1" min="11" max="11" width="25.86"/>
    <col customWidth="1" min="12" max="12" width="63.14"/>
    <col customWidth="1" min="13" max="13" width="19.43"/>
    <col customWidth="1" min="14" max="14" width="20.86"/>
    <col customWidth="1" min="15" max="15" width="20.14"/>
    <col customWidth="1" min="16" max="16" width="24.14"/>
    <col customWidth="1" min="17" max="17" width="54.0"/>
    <col customWidth="1" min="18" max="18" width="23.86"/>
    <col customWidth="1" min="19" max="19" width="54.14"/>
    <col customWidth="1" min="20" max="20" width="29.29"/>
    <col customWidth="1" min="21" max="21" width="30.0"/>
    <col customWidth="1" min="22" max="22" width="30.86"/>
    <col customWidth="1" min="23" max="23" width="28.57"/>
    <col customWidth="1" min="24" max="24" width="25.86"/>
    <col customWidth="1" min="25" max="31" width="8.71"/>
  </cols>
  <sheetData>
    <row r="1" ht="31.5" customHeight="1">
      <c r="A1" s="1" t="s">
        <v>0</v>
      </c>
      <c r="B1" s="1" t="s">
        <v>1</v>
      </c>
      <c r="C1" s="1" t="s">
        <v>2</v>
      </c>
      <c r="D1" s="1" t="s">
        <v>3</v>
      </c>
      <c r="E1" s="1" t="s">
        <v>4</v>
      </c>
      <c r="F1" s="1" t="s">
        <v>5</v>
      </c>
      <c r="G1" s="1" t="s">
        <v>6</v>
      </c>
      <c r="H1" s="1" t="s">
        <v>7</v>
      </c>
      <c r="I1" s="1" t="s">
        <v>8</v>
      </c>
      <c r="J1" s="2"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3"/>
      <c r="Z1" s="3"/>
      <c r="AA1" s="3"/>
      <c r="AB1" s="3"/>
      <c r="AC1" s="3"/>
      <c r="AD1" s="3"/>
      <c r="AE1" s="3"/>
    </row>
    <row r="2" ht="157.5" customHeight="1">
      <c r="A2" s="4">
        <v>1.0</v>
      </c>
      <c r="B2" s="4" t="s">
        <v>24</v>
      </c>
      <c r="C2" s="4" t="s">
        <v>25</v>
      </c>
      <c r="D2" s="5" t="s">
        <v>26</v>
      </c>
      <c r="E2" s="5" t="s">
        <v>27</v>
      </c>
      <c r="F2" s="5" t="s">
        <v>28</v>
      </c>
      <c r="G2" s="4">
        <v>0.657291054725647</v>
      </c>
      <c r="H2" s="5" t="s">
        <v>29</v>
      </c>
      <c r="I2" s="6" t="s">
        <v>30</v>
      </c>
      <c r="J2" s="7" t="s">
        <v>31</v>
      </c>
      <c r="K2" s="8" t="s">
        <v>32</v>
      </c>
      <c r="L2" s="5"/>
      <c r="M2" s="4">
        <v>1.0</v>
      </c>
      <c r="N2" s="4">
        <v>1.0</v>
      </c>
      <c r="O2" s="9">
        <f t="shared" ref="O2:O37" si="1">(M2 + N2)/2 * 10</f>
        <v>10</v>
      </c>
      <c r="P2" s="9" t="str">
        <f t="shared" ref="P2:P37" si="2">IF(O2=10,"correta",IF(O2=5,"parcial","incorreta"))</f>
        <v>correta</v>
      </c>
      <c r="Q2" s="5" t="s">
        <v>33</v>
      </c>
      <c r="R2" s="4" t="s">
        <v>34</v>
      </c>
      <c r="S2" s="5" t="s">
        <v>35</v>
      </c>
      <c r="T2" s="10" t="s">
        <v>36</v>
      </c>
      <c r="U2" s="10" t="s">
        <v>34</v>
      </c>
      <c r="V2" s="10" t="s">
        <v>37</v>
      </c>
      <c r="W2" s="8" t="s">
        <v>38</v>
      </c>
      <c r="X2" s="10" t="s">
        <v>39</v>
      </c>
    </row>
    <row r="3" ht="157.5" customHeight="1">
      <c r="A3" s="4">
        <v>2.0</v>
      </c>
      <c r="B3" s="4" t="s">
        <v>24</v>
      </c>
      <c r="C3" s="4" t="s">
        <v>25</v>
      </c>
      <c r="D3" s="5" t="s">
        <v>40</v>
      </c>
      <c r="E3" s="5" t="s">
        <v>41</v>
      </c>
      <c r="F3" s="5" t="s">
        <v>42</v>
      </c>
      <c r="G3" s="4">
        <v>0.547150731086731</v>
      </c>
      <c r="H3" s="5" t="s">
        <v>43</v>
      </c>
      <c r="I3" s="6" t="s">
        <v>44</v>
      </c>
      <c r="J3" s="5" t="s">
        <v>44</v>
      </c>
      <c r="K3" s="8" t="s">
        <v>45</v>
      </c>
      <c r="L3" s="7" t="s">
        <v>46</v>
      </c>
      <c r="M3" s="4">
        <v>0.0</v>
      </c>
      <c r="N3" s="4">
        <v>0.0</v>
      </c>
      <c r="O3" s="9">
        <f t="shared" si="1"/>
        <v>0</v>
      </c>
      <c r="P3" s="9" t="str">
        <f t="shared" si="2"/>
        <v>incorreta</v>
      </c>
      <c r="Q3" s="5" t="s">
        <v>47</v>
      </c>
      <c r="R3" s="4" t="s">
        <v>34</v>
      </c>
      <c r="S3" s="5" t="s">
        <v>48</v>
      </c>
      <c r="T3" s="8" t="s">
        <v>49</v>
      </c>
      <c r="U3" s="8" t="s">
        <v>34</v>
      </c>
      <c r="V3" s="8" t="s">
        <v>50</v>
      </c>
      <c r="W3" s="8" t="s">
        <v>51</v>
      </c>
      <c r="X3" s="8" t="s">
        <v>52</v>
      </c>
    </row>
    <row r="4" ht="157.5" customHeight="1">
      <c r="A4" s="4">
        <v>3.0</v>
      </c>
      <c r="B4" s="4" t="s">
        <v>24</v>
      </c>
      <c r="C4" s="4" t="s">
        <v>53</v>
      </c>
      <c r="D4" s="5" t="s">
        <v>54</v>
      </c>
      <c r="E4" s="5" t="s">
        <v>55</v>
      </c>
      <c r="F4" s="5" t="s">
        <v>56</v>
      </c>
      <c r="G4" s="4">
        <v>0.8085248470306396</v>
      </c>
      <c r="H4" s="5" t="s">
        <v>57</v>
      </c>
      <c r="I4" s="6" t="s">
        <v>58</v>
      </c>
      <c r="J4" s="7" t="s">
        <v>59</v>
      </c>
      <c r="K4" s="8" t="s">
        <v>60</v>
      </c>
      <c r="L4" s="5"/>
      <c r="M4" s="4">
        <v>1.0</v>
      </c>
      <c r="N4" s="4">
        <v>1.0</v>
      </c>
      <c r="O4" s="9">
        <f t="shared" si="1"/>
        <v>10</v>
      </c>
      <c r="P4" s="9" t="str">
        <f t="shared" si="2"/>
        <v>correta</v>
      </c>
      <c r="Q4" s="5" t="s">
        <v>61</v>
      </c>
      <c r="R4" s="4" t="s">
        <v>34</v>
      </c>
      <c r="S4" s="5" t="s">
        <v>62</v>
      </c>
      <c r="T4" s="8" t="s">
        <v>36</v>
      </c>
      <c r="U4" s="8" t="s">
        <v>34</v>
      </c>
      <c r="V4" s="8" t="s">
        <v>37</v>
      </c>
      <c r="W4" s="8" t="s">
        <v>38</v>
      </c>
      <c r="X4" s="8" t="s">
        <v>39</v>
      </c>
    </row>
    <row r="5" ht="157.5" customHeight="1">
      <c r="A5" s="4">
        <v>4.0</v>
      </c>
      <c r="B5" s="4" t="s">
        <v>24</v>
      </c>
      <c r="C5" s="4" t="s">
        <v>53</v>
      </c>
      <c r="D5" s="5" t="s">
        <v>63</v>
      </c>
      <c r="E5" s="5" t="s">
        <v>64</v>
      </c>
      <c r="F5" s="5" t="s">
        <v>65</v>
      </c>
      <c r="G5" s="4">
        <v>0.4661431312561035</v>
      </c>
      <c r="H5" s="5" t="s">
        <v>66</v>
      </c>
      <c r="I5" s="6" t="s">
        <v>67</v>
      </c>
      <c r="J5" s="7" t="s">
        <v>68</v>
      </c>
      <c r="K5" s="8" t="s">
        <v>69</v>
      </c>
      <c r="L5" s="7" t="s">
        <v>70</v>
      </c>
      <c r="M5" s="4">
        <v>1.0</v>
      </c>
      <c r="N5" s="4">
        <v>0.0</v>
      </c>
      <c r="O5" s="9">
        <f t="shared" si="1"/>
        <v>5</v>
      </c>
      <c r="P5" s="9" t="str">
        <f t="shared" si="2"/>
        <v>parcial</v>
      </c>
      <c r="Q5" s="5" t="s">
        <v>71</v>
      </c>
      <c r="R5" s="4" t="s">
        <v>34</v>
      </c>
      <c r="S5" s="5" t="s">
        <v>48</v>
      </c>
      <c r="T5" s="8" t="s">
        <v>49</v>
      </c>
      <c r="U5" s="8" t="s">
        <v>34</v>
      </c>
      <c r="V5" s="8" t="s">
        <v>72</v>
      </c>
      <c r="W5" s="8" t="s">
        <v>51</v>
      </c>
      <c r="X5" s="8" t="s">
        <v>52</v>
      </c>
    </row>
    <row r="6" ht="157.5" customHeight="1">
      <c r="A6" s="4">
        <v>5.0</v>
      </c>
      <c r="B6" s="4" t="s">
        <v>24</v>
      </c>
      <c r="C6" s="4" t="s">
        <v>73</v>
      </c>
      <c r="D6" s="5" t="s">
        <v>74</v>
      </c>
      <c r="E6" s="5" t="s">
        <v>75</v>
      </c>
      <c r="F6" s="5" t="s">
        <v>76</v>
      </c>
      <c r="G6" s="4">
        <v>0.4001133739948273</v>
      </c>
      <c r="H6" s="5" t="s">
        <v>77</v>
      </c>
      <c r="I6" s="6" t="s">
        <v>78</v>
      </c>
      <c r="J6" s="5" t="s">
        <v>78</v>
      </c>
      <c r="K6" s="8" t="s">
        <v>79</v>
      </c>
      <c r="L6" s="7" t="s">
        <v>80</v>
      </c>
      <c r="M6" s="4">
        <v>1.0</v>
      </c>
      <c r="N6" s="4">
        <v>0.0</v>
      </c>
      <c r="O6" s="9">
        <f t="shared" si="1"/>
        <v>5</v>
      </c>
      <c r="P6" s="9" t="str">
        <f t="shared" si="2"/>
        <v>parcial</v>
      </c>
      <c r="Q6" s="5" t="s">
        <v>81</v>
      </c>
      <c r="R6" s="4" t="s">
        <v>34</v>
      </c>
      <c r="S6" s="5" t="s">
        <v>48</v>
      </c>
      <c r="T6" s="8" t="s">
        <v>49</v>
      </c>
      <c r="U6" s="8" t="s">
        <v>34</v>
      </c>
      <c r="V6" s="8" t="s">
        <v>72</v>
      </c>
      <c r="W6" s="8" t="s">
        <v>51</v>
      </c>
      <c r="X6" s="8" t="s">
        <v>52</v>
      </c>
    </row>
    <row r="7" ht="157.5" customHeight="1">
      <c r="A7" s="4">
        <v>6.0</v>
      </c>
      <c r="B7" s="4" t="s">
        <v>24</v>
      </c>
      <c r="C7" s="4" t="s">
        <v>82</v>
      </c>
      <c r="D7" s="5" t="s">
        <v>83</v>
      </c>
      <c r="E7" s="5" t="s">
        <v>84</v>
      </c>
      <c r="F7" s="5" t="s">
        <v>85</v>
      </c>
      <c r="G7" s="4">
        <v>0.4528383612632751</v>
      </c>
      <c r="H7" s="5" t="s">
        <v>86</v>
      </c>
      <c r="I7" s="6" t="s">
        <v>87</v>
      </c>
      <c r="J7" s="7" t="s">
        <v>88</v>
      </c>
      <c r="K7" s="8" t="s">
        <v>89</v>
      </c>
      <c r="L7" s="7" t="s">
        <v>90</v>
      </c>
      <c r="M7" s="4">
        <v>1.0</v>
      </c>
      <c r="N7" s="4">
        <v>0.0</v>
      </c>
      <c r="O7" s="9">
        <f t="shared" si="1"/>
        <v>5</v>
      </c>
      <c r="P7" s="9" t="str">
        <f t="shared" si="2"/>
        <v>parcial</v>
      </c>
      <c r="Q7" s="5" t="s">
        <v>91</v>
      </c>
      <c r="R7" s="4" t="s">
        <v>34</v>
      </c>
      <c r="S7" s="5" t="s">
        <v>48</v>
      </c>
      <c r="T7" s="8" t="s">
        <v>49</v>
      </c>
      <c r="U7" s="8" t="s">
        <v>34</v>
      </c>
      <c r="V7" s="8" t="s">
        <v>72</v>
      </c>
      <c r="W7" s="8" t="s">
        <v>51</v>
      </c>
      <c r="X7" s="8" t="s">
        <v>52</v>
      </c>
    </row>
    <row r="8" ht="157.5" customHeight="1">
      <c r="A8" s="4">
        <v>7.0</v>
      </c>
      <c r="B8" s="4" t="s">
        <v>92</v>
      </c>
      <c r="C8" s="4" t="s">
        <v>25</v>
      </c>
      <c r="D8" s="5" t="s">
        <v>93</v>
      </c>
      <c r="E8" s="5" t="s">
        <v>94</v>
      </c>
      <c r="F8" s="5" t="s">
        <v>95</v>
      </c>
      <c r="G8" s="4">
        <v>0.4160428047180176</v>
      </c>
      <c r="H8" s="5" t="s">
        <v>96</v>
      </c>
      <c r="I8" s="6" t="s">
        <v>97</v>
      </c>
      <c r="J8" s="7" t="s">
        <v>98</v>
      </c>
      <c r="K8" s="8" t="s">
        <v>99</v>
      </c>
      <c r="L8" s="7" t="s">
        <v>100</v>
      </c>
      <c r="M8" s="4">
        <v>1.0</v>
      </c>
      <c r="N8" s="4">
        <v>0.0</v>
      </c>
      <c r="O8" s="9">
        <f t="shared" si="1"/>
        <v>5</v>
      </c>
      <c r="P8" s="9" t="str">
        <f t="shared" si="2"/>
        <v>parcial</v>
      </c>
      <c r="Q8" s="5" t="s">
        <v>101</v>
      </c>
      <c r="R8" s="4" t="s">
        <v>34</v>
      </c>
      <c r="S8" s="5" t="s">
        <v>102</v>
      </c>
      <c r="T8" s="8" t="s">
        <v>49</v>
      </c>
      <c r="U8" s="8" t="s">
        <v>34</v>
      </c>
      <c r="V8" s="8" t="s">
        <v>50</v>
      </c>
      <c r="W8" s="8" t="s">
        <v>51</v>
      </c>
      <c r="X8" s="8" t="s">
        <v>52</v>
      </c>
    </row>
    <row r="9" ht="157.5" customHeight="1">
      <c r="A9" s="4">
        <v>8.0</v>
      </c>
      <c r="B9" s="4" t="s">
        <v>92</v>
      </c>
      <c r="C9" s="4" t="s">
        <v>25</v>
      </c>
      <c r="D9" s="5" t="s">
        <v>103</v>
      </c>
      <c r="E9" s="5" t="s">
        <v>104</v>
      </c>
      <c r="F9" s="5" t="s">
        <v>105</v>
      </c>
      <c r="G9" s="4">
        <v>0.4270257949829102</v>
      </c>
      <c r="H9" s="5" t="s">
        <v>106</v>
      </c>
      <c r="I9" s="6" t="s">
        <v>107</v>
      </c>
      <c r="J9" s="5" t="s">
        <v>107</v>
      </c>
      <c r="K9" s="8" t="s">
        <v>99</v>
      </c>
      <c r="L9" s="7" t="s">
        <v>108</v>
      </c>
      <c r="M9" s="4">
        <v>1.0</v>
      </c>
      <c r="N9" s="4">
        <v>0.0</v>
      </c>
      <c r="O9" s="9">
        <f t="shared" si="1"/>
        <v>5</v>
      </c>
      <c r="P9" s="9" t="str">
        <f t="shared" si="2"/>
        <v>parcial</v>
      </c>
      <c r="Q9" s="5" t="s">
        <v>109</v>
      </c>
      <c r="R9" s="4" t="s">
        <v>34</v>
      </c>
      <c r="S9" s="5" t="s">
        <v>110</v>
      </c>
      <c r="T9" s="8" t="s">
        <v>49</v>
      </c>
      <c r="U9" s="8" t="s">
        <v>34</v>
      </c>
      <c r="V9" s="8" t="s">
        <v>50</v>
      </c>
      <c r="W9" s="8" t="s">
        <v>51</v>
      </c>
      <c r="X9" s="8" t="s">
        <v>52</v>
      </c>
    </row>
    <row r="10" ht="157.5" customHeight="1">
      <c r="A10" s="4">
        <v>9.0</v>
      </c>
      <c r="B10" s="4" t="s">
        <v>92</v>
      </c>
      <c r="C10" s="4" t="s">
        <v>53</v>
      </c>
      <c r="D10" s="5" t="s">
        <v>111</v>
      </c>
      <c r="E10" s="5" t="s">
        <v>112</v>
      </c>
      <c r="F10" s="5" t="s">
        <v>113</v>
      </c>
      <c r="G10" s="4">
        <v>0.3191322088241577</v>
      </c>
      <c r="H10" s="5" t="s">
        <v>114</v>
      </c>
      <c r="I10" s="6" t="s">
        <v>115</v>
      </c>
      <c r="J10" s="7" t="s">
        <v>116</v>
      </c>
      <c r="K10" s="8" t="s">
        <v>117</v>
      </c>
      <c r="L10" s="7" t="s">
        <v>118</v>
      </c>
      <c r="M10" s="4">
        <v>0.0</v>
      </c>
      <c r="N10" s="4">
        <v>0.0</v>
      </c>
      <c r="O10" s="9">
        <f t="shared" si="1"/>
        <v>0</v>
      </c>
      <c r="P10" s="9" t="str">
        <f t="shared" si="2"/>
        <v>incorreta</v>
      </c>
      <c r="Q10" s="5" t="s">
        <v>119</v>
      </c>
      <c r="R10" s="4" t="s">
        <v>34</v>
      </c>
      <c r="S10" s="5" t="s">
        <v>120</v>
      </c>
      <c r="T10" s="8" t="s">
        <v>49</v>
      </c>
      <c r="U10" s="8" t="s">
        <v>34</v>
      </c>
      <c r="V10" s="8" t="s">
        <v>72</v>
      </c>
      <c r="W10" s="8" t="s">
        <v>51</v>
      </c>
      <c r="X10" s="8" t="s">
        <v>52</v>
      </c>
    </row>
    <row r="11" ht="157.5" customHeight="1">
      <c r="A11" s="4">
        <v>10.0</v>
      </c>
      <c r="B11" s="4" t="s">
        <v>92</v>
      </c>
      <c r="C11" s="4" t="s">
        <v>53</v>
      </c>
      <c r="D11" s="5" t="s">
        <v>121</v>
      </c>
      <c r="E11" s="5" t="s">
        <v>122</v>
      </c>
      <c r="F11" s="5" t="s">
        <v>123</v>
      </c>
      <c r="G11" s="4">
        <v>0.7754037976264954</v>
      </c>
      <c r="H11" s="5" t="s">
        <v>124</v>
      </c>
      <c r="I11" s="6" t="s">
        <v>125</v>
      </c>
      <c r="J11" s="7" t="s">
        <v>126</v>
      </c>
      <c r="K11" s="8" t="s">
        <v>127</v>
      </c>
      <c r="L11" s="5"/>
      <c r="M11" s="4">
        <v>1.0</v>
      </c>
      <c r="N11" s="4">
        <v>1.0</v>
      </c>
      <c r="O11" s="9">
        <f t="shared" si="1"/>
        <v>10</v>
      </c>
      <c r="P11" s="9" t="str">
        <f t="shared" si="2"/>
        <v>correta</v>
      </c>
      <c r="Q11" s="5" t="s">
        <v>128</v>
      </c>
      <c r="R11" s="4" t="s">
        <v>34</v>
      </c>
      <c r="S11" s="5" t="s">
        <v>129</v>
      </c>
      <c r="T11" s="8" t="s">
        <v>36</v>
      </c>
      <c r="U11" s="8" t="s">
        <v>34</v>
      </c>
      <c r="V11" s="8" t="s">
        <v>37</v>
      </c>
      <c r="W11" s="8" t="s">
        <v>38</v>
      </c>
      <c r="X11" s="8" t="s">
        <v>39</v>
      </c>
    </row>
    <row r="12" ht="157.5" customHeight="1">
      <c r="A12" s="11">
        <v>11.0</v>
      </c>
      <c r="B12" s="11" t="s">
        <v>92</v>
      </c>
      <c r="C12" s="11" t="s">
        <v>53</v>
      </c>
      <c r="D12" s="12" t="s">
        <v>130</v>
      </c>
      <c r="E12" s="12" t="s">
        <v>131</v>
      </c>
      <c r="F12" s="12" t="s">
        <v>132</v>
      </c>
      <c r="G12" s="11">
        <v>0.8409287929534912</v>
      </c>
      <c r="H12" s="12" t="s">
        <v>133</v>
      </c>
      <c r="I12" s="13" t="s">
        <v>134</v>
      </c>
      <c r="J12" s="14" t="s">
        <v>135</v>
      </c>
      <c r="K12" s="15" t="s">
        <v>117</v>
      </c>
      <c r="L12" s="14" t="s">
        <v>136</v>
      </c>
      <c r="M12" s="11">
        <v>1.0</v>
      </c>
      <c r="N12" s="11">
        <v>1.0</v>
      </c>
      <c r="O12" s="16">
        <f t="shared" si="1"/>
        <v>10</v>
      </c>
      <c r="P12" s="16" t="str">
        <f t="shared" si="2"/>
        <v>correta</v>
      </c>
      <c r="Q12" s="12" t="s">
        <v>137</v>
      </c>
      <c r="R12" s="11" t="s">
        <v>34</v>
      </c>
      <c r="S12" s="12" t="s">
        <v>138</v>
      </c>
      <c r="T12" s="15" t="s">
        <v>36</v>
      </c>
      <c r="U12" s="15" t="s">
        <v>34</v>
      </c>
      <c r="V12" s="15" t="s">
        <v>37</v>
      </c>
      <c r="W12" s="15" t="s">
        <v>38</v>
      </c>
      <c r="X12" s="15" t="s">
        <v>39</v>
      </c>
      <c r="Y12" s="17"/>
      <c r="Z12" s="17"/>
      <c r="AA12" s="17"/>
      <c r="AB12" s="17"/>
      <c r="AC12" s="17"/>
      <c r="AD12" s="17"/>
      <c r="AE12" s="17"/>
    </row>
    <row r="13" ht="157.5" customHeight="1">
      <c r="A13" s="4">
        <v>12.0</v>
      </c>
      <c r="B13" s="4" t="s">
        <v>92</v>
      </c>
      <c r="C13" s="4" t="s">
        <v>73</v>
      </c>
      <c r="D13" s="5" t="s">
        <v>139</v>
      </c>
      <c r="E13" s="5" t="s">
        <v>140</v>
      </c>
      <c r="F13" s="5" t="s">
        <v>141</v>
      </c>
      <c r="G13" s="4">
        <v>0.432361900806427</v>
      </c>
      <c r="H13" s="5" t="s">
        <v>142</v>
      </c>
      <c r="I13" s="6" t="s">
        <v>143</v>
      </c>
      <c r="J13" s="5" t="s">
        <v>143</v>
      </c>
      <c r="K13" s="8" t="s">
        <v>144</v>
      </c>
      <c r="L13" s="7" t="s">
        <v>145</v>
      </c>
      <c r="M13" s="4">
        <v>1.0</v>
      </c>
      <c r="N13" s="4">
        <v>0.0</v>
      </c>
      <c r="O13" s="9">
        <f t="shared" si="1"/>
        <v>5</v>
      </c>
      <c r="P13" s="9" t="str">
        <f t="shared" si="2"/>
        <v>parcial</v>
      </c>
      <c r="Q13" s="5" t="s">
        <v>146</v>
      </c>
      <c r="R13" s="4" t="s">
        <v>34</v>
      </c>
      <c r="S13" s="5" t="s">
        <v>48</v>
      </c>
      <c r="T13" s="8" t="s">
        <v>49</v>
      </c>
      <c r="U13" s="8" t="s">
        <v>34</v>
      </c>
      <c r="V13" s="8" t="s">
        <v>72</v>
      </c>
      <c r="W13" s="8" t="s">
        <v>51</v>
      </c>
      <c r="X13" s="8" t="s">
        <v>52</v>
      </c>
    </row>
    <row r="14" ht="157.5" customHeight="1">
      <c r="A14" s="4">
        <v>13.0</v>
      </c>
      <c r="B14" s="4" t="s">
        <v>92</v>
      </c>
      <c r="C14" s="4" t="s">
        <v>73</v>
      </c>
      <c r="D14" s="5" t="s">
        <v>147</v>
      </c>
      <c r="E14" s="5" t="s">
        <v>148</v>
      </c>
      <c r="F14" s="5" t="s">
        <v>149</v>
      </c>
      <c r="G14" s="4">
        <v>0.7770134806632996</v>
      </c>
      <c r="H14" s="5" t="s">
        <v>150</v>
      </c>
      <c r="I14" s="6" t="s">
        <v>151</v>
      </c>
      <c r="J14" s="7" t="s">
        <v>152</v>
      </c>
      <c r="K14" s="8" t="s">
        <v>117</v>
      </c>
      <c r="L14" s="7" t="s">
        <v>153</v>
      </c>
      <c r="M14" s="4">
        <v>1.0</v>
      </c>
      <c r="N14" s="4">
        <v>1.0</v>
      </c>
      <c r="O14" s="9">
        <f t="shared" si="1"/>
        <v>10</v>
      </c>
      <c r="P14" s="9" t="str">
        <f t="shared" si="2"/>
        <v>correta</v>
      </c>
      <c r="Q14" s="5" t="s">
        <v>154</v>
      </c>
      <c r="R14" s="4" t="s">
        <v>34</v>
      </c>
      <c r="S14" s="5" t="s">
        <v>155</v>
      </c>
      <c r="T14" s="8" t="s">
        <v>156</v>
      </c>
      <c r="U14" s="8" t="s">
        <v>34</v>
      </c>
      <c r="V14" s="8" t="s">
        <v>37</v>
      </c>
      <c r="W14" s="8" t="s">
        <v>38</v>
      </c>
      <c r="X14" s="8" t="s">
        <v>52</v>
      </c>
    </row>
    <row r="15" ht="157.5" customHeight="1">
      <c r="A15" s="4">
        <v>14.0</v>
      </c>
      <c r="B15" s="4" t="s">
        <v>92</v>
      </c>
      <c r="C15" s="4" t="s">
        <v>82</v>
      </c>
      <c r="D15" s="5" t="s">
        <v>157</v>
      </c>
      <c r="E15" s="5" t="s">
        <v>158</v>
      </c>
      <c r="F15" s="5" t="s">
        <v>159</v>
      </c>
      <c r="G15" s="4">
        <v>0.7248221635818481</v>
      </c>
      <c r="H15" s="7" t="s">
        <v>160</v>
      </c>
      <c r="I15" s="6" t="s">
        <v>161</v>
      </c>
      <c r="J15" s="7" t="s">
        <v>162</v>
      </c>
      <c r="K15" s="8" t="s">
        <v>99</v>
      </c>
      <c r="L15" s="7" t="s">
        <v>163</v>
      </c>
      <c r="M15" s="4">
        <v>1.0</v>
      </c>
      <c r="N15" s="4">
        <v>0.0</v>
      </c>
      <c r="O15" s="9">
        <f t="shared" si="1"/>
        <v>5</v>
      </c>
      <c r="P15" s="9" t="str">
        <f t="shared" si="2"/>
        <v>parcial</v>
      </c>
      <c r="Q15" s="5" t="s">
        <v>164</v>
      </c>
      <c r="R15" s="4" t="s">
        <v>34</v>
      </c>
      <c r="S15" s="5" t="s">
        <v>165</v>
      </c>
      <c r="T15" s="8" t="s">
        <v>49</v>
      </c>
      <c r="U15" s="8" t="s">
        <v>34</v>
      </c>
      <c r="V15" s="8" t="s">
        <v>72</v>
      </c>
      <c r="W15" s="8" t="s">
        <v>38</v>
      </c>
      <c r="X15" s="8" t="s">
        <v>52</v>
      </c>
    </row>
    <row r="16" ht="157.5" customHeight="1">
      <c r="A16" s="4">
        <v>15.0</v>
      </c>
      <c r="B16" s="4" t="s">
        <v>166</v>
      </c>
      <c r="C16" s="4" t="s">
        <v>25</v>
      </c>
      <c r="D16" s="5" t="s">
        <v>167</v>
      </c>
      <c r="E16" s="5" t="s">
        <v>168</v>
      </c>
      <c r="F16" s="5" t="s">
        <v>169</v>
      </c>
      <c r="G16" s="4">
        <v>0.848366916179657</v>
      </c>
      <c r="H16" s="5" t="s">
        <v>170</v>
      </c>
      <c r="I16" s="6" t="s">
        <v>171</v>
      </c>
      <c r="J16" s="7" t="s">
        <v>172</v>
      </c>
      <c r="K16" s="8" t="s">
        <v>173</v>
      </c>
      <c r="L16" s="18" t="s">
        <v>174</v>
      </c>
      <c r="M16" s="4">
        <v>1.0</v>
      </c>
      <c r="N16" s="4">
        <v>1.0</v>
      </c>
      <c r="O16" s="9">
        <f t="shared" si="1"/>
        <v>10</v>
      </c>
      <c r="P16" s="9" t="str">
        <f t="shared" si="2"/>
        <v>correta</v>
      </c>
      <c r="Q16" s="5" t="s">
        <v>175</v>
      </c>
      <c r="R16" s="4" t="s">
        <v>34</v>
      </c>
      <c r="S16" s="5" t="s">
        <v>176</v>
      </c>
      <c r="T16" s="8" t="s">
        <v>36</v>
      </c>
      <c r="U16" s="8" t="s">
        <v>34</v>
      </c>
      <c r="V16" s="8" t="s">
        <v>37</v>
      </c>
      <c r="W16" s="8" t="s">
        <v>38</v>
      </c>
      <c r="X16" s="8" t="s">
        <v>39</v>
      </c>
    </row>
    <row r="17" ht="157.5" customHeight="1">
      <c r="A17" s="4">
        <v>16.0</v>
      </c>
      <c r="B17" s="4" t="s">
        <v>166</v>
      </c>
      <c r="C17" s="4" t="s">
        <v>25</v>
      </c>
      <c r="D17" s="5" t="s">
        <v>177</v>
      </c>
      <c r="E17" s="5" t="s">
        <v>178</v>
      </c>
      <c r="F17" s="5" t="s">
        <v>179</v>
      </c>
      <c r="G17" s="4">
        <v>0.8771629929542542</v>
      </c>
      <c r="H17" s="5" t="s">
        <v>180</v>
      </c>
      <c r="I17" s="6" t="s">
        <v>181</v>
      </c>
      <c r="J17" s="7" t="s">
        <v>182</v>
      </c>
      <c r="K17" s="8" t="s">
        <v>173</v>
      </c>
      <c r="L17" s="7" t="s">
        <v>174</v>
      </c>
      <c r="M17" s="4">
        <v>1.0</v>
      </c>
      <c r="N17" s="4">
        <v>1.0</v>
      </c>
      <c r="O17" s="9">
        <f t="shared" si="1"/>
        <v>10</v>
      </c>
      <c r="P17" s="9" t="str">
        <f t="shared" si="2"/>
        <v>correta</v>
      </c>
      <c r="Q17" s="5" t="s">
        <v>183</v>
      </c>
      <c r="R17" s="4" t="s">
        <v>34</v>
      </c>
      <c r="S17" s="5" t="s">
        <v>184</v>
      </c>
      <c r="T17" s="8" t="s">
        <v>36</v>
      </c>
      <c r="U17" s="8" t="s">
        <v>34</v>
      </c>
      <c r="V17" s="8" t="s">
        <v>37</v>
      </c>
      <c r="W17" s="8" t="s">
        <v>38</v>
      </c>
      <c r="X17" s="8" t="s">
        <v>39</v>
      </c>
    </row>
    <row r="18" ht="157.5" customHeight="1">
      <c r="A18" s="4">
        <v>17.0</v>
      </c>
      <c r="B18" s="4" t="s">
        <v>166</v>
      </c>
      <c r="C18" s="4" t="s">
        <v>53</v>
      </c>
      <c r="D18" s="5" t="s">
        <v>185</v>
      </c>
      <c r="E18" s="5" t="s">
        <v>186</v>
      </c>
      <c r="F18" s="5" t="s">
        <v>187</v>
      </c>
      <c r="G18" s="4">
        <v>0.4540781676769257</v>
      </c>
      <c r="H18" s="7" t="s">
        <v>188</v>
      </c>
      <c r="I18" s="6" t="s">
        <v>189</v>
      </c>
      <c r="J18" s="7" t="s">
        <v>190</v>
      </c>
      <c r="K18" s="8" t="s">
        <v>173</v>
      </c>
      <c r="L18" s="7" t="s">
        <v>191</v>
      </c>
      <c r="M18" s="4">
        <v>1.0</v>
      </c>
      <c r="N18" s="4">
        <v>0.0</v>
      </c>
      <c r="O18" s="9">
        <f t="shared" si="1"/>
        <v>5</v>
      </c>
      <c r="P18" s="9" t="str">
        <f t="shared" si="2"/>
        <v>parcial</v>
      </c>
      <c r="Q18" s="5" t="s">
        <v>192</v>
      </c>
      <c r="R18" s="4" t="s">
        <v>34</v>
      </c>
      <c r="S18" s="5" t="s">
        <v>48</v>
      </c>
      <c r="T18" s="8" t="s">
        <v>49</v>
      </c>
      <c r="U18" s="8" t="s">
        <v>34</v>
      </c>
      <c r="V18" s="8" t="s">
        <v>72</v>
      </c>
      <c r="W18" s="8" t="s">
        <v>51</v>
      </c>
      <c r="X18" s="8" t="s">
        <v>52</v>
      </c>
    </row>
    <row r="19" ht="157.5" customHeight="1">
      <c r="A19" s="4">
        <v>18.0</v>
      </c>
      <c r="B19" s="4" t="s">
        <v>166</v>
      </c>
      <c r="C19" s="4" t="s">
        <v>73</v>
      </c>
      <c r="D19" s="5" t="s">
        <v>193</v>
      </c>
      <c r="E19" s="5" t="s">
        <v>194</v>
      </c>
      <c r="F19" s="5" t="s">
        <v>195</v>
      </c>
      <c r="G19" s="4">
        <v>0.3980410993099213</v>
      </c>
      <c r="H19" s="5" t="s">
        <v>196</v>
      </c>
      <c r="I19" s="6" t="s">
        <v>197</v>
      </c>
      <c r="J19" s="5" t="s">
        <v>197</v>
      </c>
      <c r="K19" s="8" t="s">
        <v>198</v>
      </c>
      <c r="L19" s="7" t="s">
        <v>199</v>
      </c>
      <c r="M19" s="4">
        <v>0.0</v>
      </c>
      <c r="N19" s="4">
        <v>0.0</v>
      </c>
      <c r="O19" s="9">
        <f t="shared" si="1"/>
        <v>0</v>
      </c>
      <c r="P19" s="9" t="str">
        <f t="shared" si="2"/>
        <v>incorreta</v>
      </c>
      <c r="Q19" s="5" t="s">
        <v>200</v>
      </c>
      <c r="R19" s="4" t="s">
        <v>34</v>
      </c>
      <c r="S19" s="5" t="s">
        <v>48</v>
      </c>
      <c r="T19" s="8" t="s">
        <v>49</v>
      </c>
      <c r="U19" s="8" t="s">
        <v>34</v>
      </c>
      <c r="V19" s="8" t="s">
        <v>72</v>
      </c>
      <c r="W19" s="8" t="s">
        <v>51</v>
      </c>
      <c r="X19" s="8" t="s">
        <v>52</v>
      </c>
    </row>
    <row r="20" ht="157.5" customHeight="1">
      <c r="A20" s="4">
        <v>19.0</v>
      </c>
      <c r="B20" s="4" t="s">
        <v>166</v>
      </c>
      <c r="C20" s="4" t="s">
        <v>73</v>
      </c>
      <c r="D20" s="5" t="s">
        <v>201</v>
      </c>
      <c r="E20" s="5" t="s">
        <v>202</v>
      </c>
      <c r="F20" s="5" t="s">
        <v>203</v>
      </c>
      <c r="G20" s="4">
        <v>0.5006508827209473</v>
      </c>
      <c r="H20" s="7" t="s">
        <v>204</v>
      </c>
      <c r="I20" s="6" t="s">
        <v>205</v>
      </c>
      <c r="J20" s="7" t="s">
        <v>206</v>
      </c>
      <c r="K20" s="8" t="s">
        <v>207</v>
      </c>
      <c r="L20" s="7" t="s">
        <v>208</v>
      </c>
      <c r="M20" s="4">
        <v>1.0</v>
      </c>
      <c r="N20" s="4">
        <v>0.0</v>
      </c>
      <c r="O20" s="9">
        <f t="shared" si="1"/>
        <v>5</v>
      </c>
      <c r="P20" s="9" t="str">
        <f t="shared" si="2"/>
        <v>parcial</v>
      </c>
      <c r="Q20" s="5" t="s">
        <v>209</v>
      </c>
      <c r="R20" s="4" t="s">
        <v>34</v>
      </c>
      <c r="S20" s="5" t="s">
        <v>48</v>
      </c>
      <c r="T20" s="8" t="s">
        <v>49</v>
      </c>
      <c r="U20" s="8" t="s">
        <v>34</v>
      </c>
      <c r="V20" s="8" t="s">
        <v>72</v>
      </c>
      <c r="W20" s="8" t="s">
        <v>51</v>
      </c>
      <c r="X20" s="8" t="s">
        <v>52</v>
      </c>
    </row>
    <row r="21" ht="157.5" customHeight="1">
      <c r="A21" s="4">
        <v>20.0</v>
      </c>
      <c r="B21" s="4" t="s">
        <v>166</v>
      </c>
      <c r="C21" s="4" t="s">
        <v>82</v>
      </c>
      <c r="D21" s="5" t="s">
        <v>210</v>
      </c>
      <c r="E21" s="5" t="s">
        <v>211</v>
      </c>
      <c r="F21" s="5" t="s">
        <v>212</v>
      </c>
      <c r="G21" s="4">
        <v>0.5684806108474731</v>
      </c>
      <c r="H21" s="5" t="s">
        <v>213</v>
      </c>
      <c r="I21" s="6" t="s">
        <v>214</v>
      </c>
      <c r="J21" s="5" t="s">
        <v>214</v>
      </c>
      <c r="K21" s="8" t="s">
        <v>198</v>
      </c>
      <c r="L21" s="7" t="s">
        <v>215</v>
      </c>
      <c r="M21" s="4">
        <v>0.0</v>
      </c>
      <c r="N21" s="4">
        <v>0.0</v>
      </c>
      <c r="O21" s="9">
        <f t="shared" si="1"/>
        <v>0</v>
      </c>
      <c r="P21" s="9" t="str">
        <f t="shared" si="2"/>
        <v>incorreta</v>
      </c>
      <c r="Q21" s="5" t="s">
        <v>216</v>
      </c>
      <c r="R21" s="4" t="s">
        <v>34</v>
      </c>
      <c r="S21" s="5" t="s">
        <v>217</v>
      </c>
      <c r="T21" s="8" t="s">
        <v>49</v>
      </c>
      <c r="U21" s="8" t="s">
        <v>34</v>
      </c>
      <c r="V21" s="8" t="s">
        <v>72</v>
      </c>
      <c r="W21" s="8" t="s">
        <v>51</v>
      </c>
      <c r="X21" s="8" t="s">
        <v>52</v>
      </c>
    </row>
    <row r="22" ht="157.5" customHeight="1">
      <c r="A22" s="4">
        <v>21.0</v>
      </c>
      <c r="B22" s="4" t="s">
        <v>218</v>
      </c>
      <c r="C22" s="4" t="s">
        <v>25</v>
      </c>
      <c r="D22" s="5" t="s">
        <v>219</v>
      </c>
      <c r="E22" s="5" t="s">
        <v>220</v>
      </c>
      <c r="F22" s="5" t="s">
        <v>221</v>
      </c>
      <c r="G22" s="4">
        <v>0.8005596399307251</v>
      </c>
      <c r="H22" s="5" t="s">
        <v>222</v>
      </c>
      <c r="I22" s="6" t="s">
        <v>223</v>
      </c>
      <c r="J22" s="7" t="s">
        <v>224</v>
      </c>
      <c r="K22" s="8" t="s">
        <v>225</v>
      </c>
      <c r="L22" s="5"/>
      <c r="M22" s="4">
        <v>1.0</v>
      </c>
      <c r="N22" s="4">
        <v>1.0</v>
      </c>
      <c r="O22" s="9">
        <f t="shared" si="1"/>
        <v>10</v>
      </c>
      <c r="P22" s="9" t="str">
        <f t="shared" si="2"/>
        <v>correta</v>
      </c>
      <c r="Q22" s="5" t="s">
        <v>226</v>
      </c>
      <c r="R22" s="4" t="s">
        <v>34</v>
      </c>
      <c r="S22" s="5" t="s">
        <v>227</v>
      </c>
      <c r="T22" s="8" t="s">
        <v>36</v>
      </c>
      <c r="U22" s="8" t="s">
        <v>34</v>
      </c>
      <c r="V22" s="8" t="s">
        <v>37</v>
      </c>
      <c r="W22" s="8" t="s">
        <v>38</v>
      </c>
      <c r="X22" s="8" t="s">
        <v>39</v>
      </c>
    </row>
    <row r="23" ht="157.5" customHeight="1">
      <c r="A23" s="4">
        <v>22.0</v>
      </c>
      <c r="B23" s="4" t="s">
        <v>218</v>
      </c>
      <c r="C23" s="4" t="s">
        <v>25</v>
      </c>
      <c r="D23" s="5" t="s">
        <v>228</v>
      </c>
      <c r="E23" s="5" t="s">
        <v>229</v>
      </c>
      <c r="F23" s="5" t="s">
        <v>230</v>
      </c>
      <c r="G23" s="4">
        <v>0.4340982139110565</v>
      </c>
      <c r="H23" s="7" t="s">
        <v>231</v>
      </c>
      <c r="I23" s="6" t="s">
        <v>232</v>
      </c>
      <c r="J23" s="7" t="s">
        <v>233</v>
      </c>
      <c r="K23" s="8" t="s">
        <v>234</v>
      </c>
      <c r="L23" s="7" t="s">
        <v>235</v>
      </c>
      <c r="M23" s="4">
        <v>1.0</v>
      </c>
      <c r="N23" s="4">
        <v>0.0</v>
      </c>
      <c r="O23" s="9">
        <f t="shared" si="1"/>
        <v>5</v>
      </c>
      <c r="P23" s="9" t="str">
        <f t="shared" si="2"/>
        <v>parcial</v>
      </c>
      <c r="Q23" s="5" t="s">
        <v>236</v>
      </c>
      <c r="R23" s="4" t="s">
        <v>34</v>
      </c>
      <c r="S23" s="5" t="s">
        <v>48</v>
      </c>
      <c r="T23" s="8" t="s">
        <v>49</v>
      </c>
      <c r="U23" s="8" t="s">
        <v>34</v>
      </c>
      <c r="V23" s="8" t="s">
        <v>72</v>
      </c>
      <c r="W23" s="8" t="s">
        <v>51</v>
      </c>
      <c r="X23" s="8" t="s">
        <v>52</v>
      </c>
    </row>
    <row r="24" ht="157.5" customHeight="1">
      <c r="A24" s="4">
        <v>23.0</v>
      </c>
      <c r="B24" s="4" t="s">
        <v>218</v>
      </c>
      <c r="C24" s="4" t="s">
        <v>53</v>
      </c>
      <c r="D24" s="5" t="s">
        <v>237</v>
      </c>
      <c r="E24" s="5" t="s">
        <v>238</v>
      </c>
      <c r="F24" s="5" t="s">
        <v>239</v>
      </c>
      <c r="G24" s="4">
        <v>0.770576000213623</v>
      </c>
      <c r="H24" s="5" t="s">
        <v>240</v>
      </c>
      <c r="I24" s="6" t="s">
        <v>241</v>
      </c>
      <c r="J24" s="5" t="s">
        <v>241</v>
      </c>
      <c r="K24" s="8" t="s">
        <v>242</v>
      </c>
      <c r="L24" s="7" t="s">
        <v>243</v>
      </c>
      <c r="M24" s="4">
        <v>0.0</v>
      </c>
      <c r="N24" s="4">
        <v>0.0</v>
      </c>
      <c r="O24" s="9">
        <f t="shared" si="1"/>
        <v>0</v>
      </c>
      <c r="P24" s="9" t="str">
        <f t="shared" si="2"/>
        <v>incorreta</v>
      </c>
      <c r="Q24" s="5" t="s">
        <v>244</v>
      </c>
      <c r="R24" s="4" t="s">
        <v>34</v>
      </c>
      <c r="S24" s="5" t="s">
        <v>245</v>
      </c>
      <c r="T24" s="8" t="s">
        <v>49</v>
      </c>
      <c r="U24" s="8" t="s">
        <v>34</v>
      </c>
      <c r="V24" s="8" t="s">
        <v>72</v>
      </c>
      <c r="W24" s="8" t="s">
        <v>38</v>
      </c>
      <c r="X24" s="8" t="s">
        <v>52</v>
      </c>
    </row>
    <row r="25" ht="157.5" customHeight="1">
      <c r="A25" s="4">
        <v>24.0</v>
      </c>
      <c r="B25" s="4" t="s">
        <v>218</v>
      </c>
      <c r="C25" s="4" t="s">
        <v>53</v>
      </c>
      <c r="D25" s="5" t="s">
        <v>246</v>
      </c>
      <c r="E25" s="5" t="s">
        <v>247</v>
      </c>
      <c r="F25" s="5" t="s">
        <v>248</v>
      </c>
      <c r="G25" s="4">
        <v>0.4519657790660858</v>
      </c>
      <c r="H25" s="7" t="s">
        <v>249</v>
      </c>
      <c r="I25" s="6" t="s">
        <v>250</v>
      </c>
      <c r="J25" s="7" t="s">
        <v>251</v>
      </c>
      <c r="K25" s="8" t="s">
        <v>252</v>
      </c>
      <c r="L25" s="7" t="s">
        <v>253</v>
      </c>
      <c r="M25" s="4">
        <v>0.0</v>
      </c>
      <c r="N25" s="4">
        <v>0.0</v>
      </c>
      <c r="O25" s="9">
        <f t="shared" si="1"/>
        <v>0</v>
      </c>
      <c r="P25" s="9" t="str">
        <f t="shared" si="2"/>
        <v>incorreta</v>
      </c>
      <c r="Q25" s="5" t="s">
        <v>254</v>
      </c>
      <c r="R25" s="4" t="s">
        <v>34</v>
      </c>
      <c r="S25" s="5" t="s">
        <v>48</v>
      </c>
      <c r="T25" s="8" t="s">
        <v>49</v>
      </c>
      <c r="U25" s="8" t="s">
        <v>34</v>
      </c>
      <c r="V25" s="8" t="s">
        <v>72</v>
      </c>
      <c r="W25" s="8" t="s">
        <v>51</v>
      </c>
      <c r="X25" s="8" t="s">
        <v>52</v>
      </c>
    </row>
    <row r="26" ht="157.5" customHeight="1">
      <c r="A26" s="4">
        <v>25.0</v>
      </c>
      <c r="B26" s="4" t="s">
        <v>218</v>
      </c>
      <c r="C26" s="4" t="s">
        <v>73</v>
      </c>
      <c r="D26" s="5" t="s">
        <v>255</v>
      </c>
      <c r="E26" s="5" t="s">
        <v>256</v>
      </c>
      <c r="F26" s="5" t="s">
        <v>257</v>
      </c>
      <c r="G26" s="4">
        <v>0.338826984167099</v>
      </c>
      <c r="H26" s="7" t="s">
        <v>258</v>
      </c>
      <c r="I26" s="6" t="s">
        <v>259</v>
      </c>
      <c r="J26" s="7" t="s">
        <v>260</v>
      </c>
      <c r="K26" s="8" t="s">
        <v>242</v>
      </c>
      <c r="L26" s="7" t="s">
        <v>261</v>
      </c>
      <c r="M26" s="4">
        <v>0.0</v>
      </c>
      <c r="N26" s="4">
        <v>0.0</v>
      </c>
      <c r="O26" s="9">
        <f t="shared" si="1"/>
        <v>0</v>
      </c>
      <c r="P26" s="9" t="str">
        <f t="shared" si="2"/>
        <v>incorreta</v>
      </c>
      <c r="Q26" s="5" t="s">
        <v>262</v>
      </c>
      <c r="R26" s="4" t="s">
        <v>34</v>
      </c>
      <c r="S26" s="5" t="s">
        <v>48</v>
      </c>
      <c r="T26" s="8" t="s">
        <v>49</v>
      </c>
      <c r="U26" s="8" t="s">
        <v>34</v>
      </c>
      <c r="V26" s="8" t="s">
        <v>72</v>
      </c>
      <c r="W26" s="8" t="s">
        <v>51</v>
      </c>
      <c r="X26" s="8" t="s">
        <v>52</v>
      </c>
    </row>
    <row r="27" ht="157.5" customHeight="1">
      <c r="A27" s="4">
        <v>26.0</v>
      </c>
      <c r="B27" s="4" t="s">
        <v>218</v>
      </c>
      <c r="C27" s="4" t="s">
        <v>82</v>
      </c>
      <c r="D27" s="5" t="s">
        <v>263</v>
      </c>
      <c r="E27" s="5" t="s">
        <v>264</v>
      </c>
      <c r="F27" s="5" t="s">
        <v>265</v>
      </c>
      <c r="G27" s="4">
        <v>0.6622793674468994</v>
      </c>
      <c r="H27" s="5" t="s">
        <v>266</v>
      </c>
      <c r="I27" s="6" t="s">
        <v>267</v>
      </c>
      <c r="J27" s="7" t="s">
        <v>268</v>
      </c>
      <c r="K27" s="8" t="s">
        <v>269</v>
      </c>
      <c r="L27" s="7" t="s">
        <v>270</v>
      </c>
      <c r="M27" s="4">
        <v>1.0</v>
      </c>
      <c r="N27" s="4">
        <v>1.0</v>
      </c>
      <c r="O27" s="9">
        <f t="shared" si="1"/>
        <v>10</v>
      </c>
      <c r="P27" s="9" t="str">
        <f t="shared" si="2"/>
        <v>correta</v>
      </c>
      <c r="Q27" s="5" t="s">
        <v>271</v>
      </c>
      <c r="R27" s="4" t="s">
        <v>34</v>
      </c>
      <c r="S27" s="5" t="s">
        <v>272</v>
      </c>
      <c r="T27" s="8" t="s">
        <v>49</v>
      </c>
      <c r="U27" s="8" t="s">
        <v>34</v>
      </c>
      <c r="V27" s="8" t="s">
        <v>50</v>
      </c>
      <c r="W27" s="8" t="s">
        <v>38</v>
      </c>
      <c r="X27" s="8" t="s">
        <v>52</v>
      </c>
    </row>
    <row r="28" ht="157.5" customHeight="1">
      <c r="A28" s="4">
        <v>27.0</v>
      </c>
      <c r="B28" s="4" t="s">
        <v>273</v>
      </c>
      <c r="C28" s="4" t="s">
        <v>25</v>
      </c>
      <c r="D28" s="5" t="s">
        <v>274</v>
      </c>
      <c r="E28" s="5" t="s">
        <v>275</v>
      </c>
      <c r="F28" s="5" t="s">
        <v>276</v>
      </c>
      <c r="G28" s="4">
        <v>0.748275637626648</v>
      </c>
      <c r="H28" s="5" t="s">
        <v>277</v>
      </c>
      <c r="I28" s="6" t="s">
        <v>278</v>
      </c>
      <c r="J28" s="7" t="s">
        <v>279</v>
      </c>
      <c r="K28" s="8" t="s">
        <v>280</v>
      </c>
      <c r="L28" s="7" t="s">
        <v>281</v>
      </c>
      <c r="M28" s="4">
        <v>1.0</v>
      </c>
      <c r="N28" s="4">
        <v>1.0</v>
      </c>
      <c r="O28" s="9">
        <f t="shared" si="1"/>
        <v>10</v>
      </c>
      <c r="P28" s="9" t="str">
        <f t="shared" si="2"/>
        <v>correta</v>
      </c>
      <c r="Q28" s="5" t="s">
        <v>282</v>
      </c>
      <c r="R28" s="4" t="s">
        <v>34</v>
      </c>
      <c r="S28" s="5" t="s">
        <v>283</v>
      </c>
      <c r="T28" s="8" t="s">
        <v>36</v>
      </c>
      <c r="U28" s="8" t="s">
        <v>34</v>
      </c>
      <c r="V28" s="8" t="s">
        <v>37</v>
      </c>
      <c r="W28" s="8" t="s">
        <v>38</v>
      </c>
      <c r="X28" s="8" t="s">
        <v>39</v>
      </c>
    </row>
    <row r="29" ht="157.5" customHeight="1">
      <c r="A29" s="4">
        <v>28.0</v>
      </c>
      <c r="B29" s="4" t="s">
        <v>273</v>
      </c>
      <c r="C29" s="4" t="s">
        <v>25</v>
      </c>
      <c r="D29" s="5" t="s">
        <v>284</v>
      </c>
      <c r="E29" s="5" t="s">
        <v>285</v>
      </c>
      <c r="F29" s="5" t="s">
        <v>286</v>
      </c>
      <c r="G29" s="4">
        <v>0.418718159198761</v>
      </c>
      <c r="H29" s="7" t="s">
        <v>287</v>
      </c>
      <c r="I29" s="6" t="s">
        <v>288</v>
      </c>
      <c r="J29" s="7" t="s">
        <v>289</v>
      </c>
      <c r="K29" s="8" t="s">
        <v>280</v>
      </c>
      <c r="L29" s="7" t="s">
        <v>290</v>
      </c>
      <c r="M29" s="4">
        <v>0.0</v>
      </c>
      <c r="N29" s="4">
        <v>0.0</v>
      </c>
      <c r="O29" s="9">
        <f t="shared" si="1"/>
        <v>0</v>
      </c>
      <c r="P29" s="9" t="str">
        <f t="shared" si="2"/>
        <v>incorreta</v>
      </c>
      <c r="Q29" s="5" t="s">
        <v>291</v>
      </c>
      <c r="R29" s="4" t="s">
        <v>34</v>
      </c>
      <c r="S29" s="5" t="s">
        <v>120</v>
      </c>
      <c r="T29" s="8" t="s">
        <v>49</v>
      </c>
      <c r="U29" s="8" t="s">
        <v>34</v>
      </c>
      <c r="V29" s="8" t="s">
        <v>72</v>
      </c>
      <c r="W29" s="8" t="s">
        <v>51</v>
      </c>
      <c r="X29" s="8" t="s">
        <v>52</v>
      </c>
    </row>
    <row r="30" ht="157.5" customHeight="1">
      <c r="A30" s="4">
        <v>29.0</v>
      </c>
      <c r="B30" s="4" t="s">
        <v>273</v>
      </c>
      <c r="C30" s="4" t="s">
        <v>53</v>
      </c>
      <c r="D30" s="5" t="s">
        <v>292</v>
      </c>
      <c r="E30" s="5" t="s">
        <v>293</v>
      </c>
      <c r="F30" s="5" t="s">
        <v>294</v>
      </c>
      <c r="G30" s="4">
        <v>0.4370992183685303</v>
      </c>
      <c r="H30" s="7" t="s">
        <v>295</v>
      </c>
      <c r="I30" s="6" t="s">
        <v>296</v>
      </c>
      <c r="J30" s="7" t="s">
        <v>297</v>
      </c>
      <c r="K30" s="8" t="s">
        <v>280</v>
      </c>
      <c r="L30" s="7" t="s">
        <v>298</v>
      </c>
      <c r="M30" s="4">
        <v>0.0</v>
      </c>
      <c r="N30" s="4">
        <v>0.0</v>
      </c>
      <c r="O30" s="9">
        <f t="shared" si="1"/>
        <v>0</v>
      </c>
      <c r="P30" s="9" t="str">
        <f t="shared" si="2"/>
        <v>incorreta</v>
      </c>
      <c r="Q30" s="5" t="s">
        <v>299</v>
      </c>
      <c r="R30" s="4" t="s">
        <v>34</v>
      </c>
      <c r="S30" s="5" t="s">
        <v>300</v>
      </c>
      <c r="T30" s="8" t="s">
        <v>156</v>
      </c>
      <c r="U30" s="8" t="s">
        <v>34</v>
      </c>
      <c r="V30" s="8" t="s">
        <v>72</v>
      </c>
      <c r="W30" s="8" t="s">
        <v>38</v>
      </c>
      <c r="X30" s="8" t="s">
        <v>52</v>
      </c>
    </row>
    <row r="31" ht="157.5" customHeight="1">
      <c r="A31" s="4">
        <v>30.0</v>
      </c>
      <c r="B31" s="4" t="s">
        <v>273</v>
      </c>
      <c r="C31" s="4" t="s">
        <v>73</v>
      </c>
      <c r="D31" s="5" t="s">
        <v>301</v>
      </c>
      <c r="E31" s="5" t="s">
        <v>302</v>
      </c>
      <c r="F31" s="5" t="s">
        <v>303</v>
      </c>
      <c r="G31" s="4">
        <v>0.3828827142715454</v>
      </c>
      <c r="H31" s="7" t="s">
        <v>304</v>
      </c>
      <c r="I31" s="6" t="s">
        <v>305</v>
      </c>
      <c r="J31" s="7" t="s">
        <v>306</v>
      </c>
      <c r="K31" s="8" t="s">
        <v>307</v>
      </c>
      <c r="L31" s="7" t="s">
        <v>308</v>
      </c>
      <c r="M31" s="4">
        <v>1.0</v>
      </c>
      <c r="N31" s="4">
        <v>0.0</v>
      </c>
      <c r="O31" s="9">
        <f t="shared" si="1"/>
        <v>5</v>
      </c>
      <c r="P31" s="9" t="str">
        <f t="shared" si="2"/>
        <v>parcial</v>
      </c>
      <c r="Q31" s="5" t="s">
        <v>309</v>
      </c>
      <c r="R31" s="4" t="s">
        <v>34</v>
      </c>
      <c r="S31" s="5" t="s">
        <v>48</v>
      </c>
      <c r="T31" s="8" t="s">
        <v>49</v>
      </c>
      <c r="U31" s="8" t="s">
        <v>34</v>
      </c>
      <c r="V31" s="8" t="s">
        <v>72</v>
      </c>
      <c r="W31" s="8" t="s">
        <v>51</v>
      </c>
      <c r="X31" s="8" t="s">
        <v>52</v>
      </c>
    </row>
    <row r="32" ht="157.5" customHeight="1">
      <c r="A32" s="4">
        <v>31.0</v>
      </c>
      <c r="B32" s="4" t="s">
        <v>273</v>
      </c>
      <c r="C32" s="4" t="s">
        <v>82</v>
      </c>
      <c r="D32" s="5" t="s">
        <v>310</v>
      </c>
      <c r="E32" s="5" t="s">
        <v>311</v>
      </c>
      <c r="F32" s="5" t="s">
        <v>312</v>
      </c>
      <c r="G32" s="4">
        <v>0.4472910463809967</v>
      </c>
      <c r="H32" s="7" t="s">
        <v>313</v>
      </c>
      <c r="I32" s="6" t="s">
        <v>314</v>
      </c>
      <c r="J32" s="7" t="s">
        <v>315</v>
      </c>
      <c r="K32" s="8" t="s">
        <v>280</v>
      </c>
      <c r="L32" s="7" t="s">
        <v>316</v>
      </c>
      <c r="M32" s="4">
        <v>0.0</v>
      </c>
      <c r="N32" s="4">
        <v>0.0</v>
      </c>
      <c r="O32" s="9">
        <f t="shared" si="1"/>
        <v>0</v>
      </c>
      <c r="P32" s="9" t="str">
        <f t="shared" si="2"/>
        <v>incorreta</v>
      </c>
      <c r="Q32" s="5" t="s">
        <v>317</v>
      </c>
      <c r="R32" s="4" t="s">
        <v>34</v>
      </c>
      <c r="S32" s="5" t="s">
        <v>48</v>
      </c>
      <c r="T32" s="8" t="s">
        <v>49</v>
      </c>
      <c r="U32" s="8" t="s">
        <v>34</v>
      </c>
      <c r="V32" s="8" t="s">
        <v>50</v>
      </c>
      <c r="W32" s="8" t="s">
        <v>51</v>
      </c>
      <c r="X32" s="8" t="s">
        <v>52</v>
      </c>
    </row>
    <row r="33" ht="157.5" customHeight="1">
      <c r="A33" s="4">
        <v>32.0</v>
      </c>
      <c r="B33" s="4" t="s">
        <v>318</v>
      </c>
      <c r="C33" s="4" t="s">
        <v>319</v>
      </c>
      <c r="D33" s="5" t="s">
        <v>320</v>
      </c>
      <c r="E33" s="5" t="s">
        <v>321</v>
      </c>
      <c r="F33" s="5" t="s">
        <v>322</v>
      </c>
      <c r="G33" s="4">
        <v>0.4745074510574341</v>
      </c>
      <c r="H33" s="5" t="s">
        <v>323</v>
      </c>
      <c r="I33" s="6" t="s">
        <v>324</v>
      </c>
      <c r="J33" s="7" t="s">
        <v>325</v>
      </c>
      <c r="K33" s="8"/>
      <c r="L33" s="7" t="s">
        <v>326</v>
      </c>
      <c r="M33" s="4">
        <v>1.0</v>
      </c>
      <c r="N33" s="4">
        <v>0.0</v>
      </c>
      <c r="O33" s="9">
        <f t="shared" si="1"/>
        <v>5</v>
      </c>
      <c r="P33" s="9" t="str">
        <f t="shared" si="2"/>
        <v>parcial</v>
      </c>
      <c r="Q33" s="5" t="s">
        <v>327</v>
      </c>
      <c r="R33" s="4" t="s">
        <v>34</v>
      </c>
      <c r="S33" s="5" t="s">
        <v>120</v>
      </c>
      <c r="T33" s="8" t="s">
        <v>36</v>
      </c>
      <c r="U33" s="8" t="s">
        <v>34</v>
      </c>
      <c r="V33" s="8" t="s">
        <v>37</v>
      </c>
      <c r="W33" s="8" t="s">
        <v>51</v>
      </c>
      <c r="X33" s="8" t="s">
        <v>39</v>
      </c>
    </row>
    <row r="34" ht="157.5" customHeight="1">
      <c r="A34" s="4">
        <v>33.0</v>
      </c>
      <c r="B34" s="4" t="s">
        <v>318</v>
      </c>
      <c r="C34" s="4" t="s">
        <v>319</v>
      </c>
      <c r="D34" s="5" t="s">
        <v>328</v>
      </c>
      <c r="E34" s="5" t="s">
        <v>329</v>
      </c>
      <c r="F34" s="5" t="s">
        <v>330</v>
      </c>
      <c r="G34" s="4">
        <v>0.4482157230377197</v>
      </c>
      <c r="H34" s="5" t="s">
        <v>331</v>
      </c>
      <c r="I34" s="6" t="s">
        <v>332</v>
      </c>
      <c r="J34" s="7" t="s">
        <v>333</v>
      </c>
      <c r="K34" s="8"/>
      <c r="L34" s="7" t="s">
        <v>326</v>
      </c>
      <c r="M34" s="4">
        <v>1.0</v>
      </c>
      <c r="N34" s="4">
        <v>0.0</v>
      </c>
      <c r="O34" s="9">
        <f t="shared" si="1"/>
        <v>5</v>
      </c>
      <c r="P34" s="9" t="str">
        <f t="shared" si="2"/>
        <v>parcial</v>
      </c>
      <c r="Q34" s="5" t="s">
        <v>334</v>
      </c>
      <c r="R34" s="4" t="s">
        <v>34</v>
      </c>
      <c r="S34" s="5" t="s">
        <v>48</v>
      </c>
      <c r="T34" s="8" t="s">
        <v>36</v>
      </c>
      <c r="U34" s="8" t="s">
        <v>34</v>
      </c>
      <c r="V34" s="8" t="s">
        <v>37</v>
      </c>
      <c r="W34" s="8" t="s">
        <v>51</v>
      </c>
      <c r="X34" s="8" t="s">
        <v>39</v>
      </c>
    </row>
    <row r="35" ht="157.5" customHeight="1">
      <c r="A35" s="4">
        <v>34.0</v>
      </c>
      <c r="B35" s="4" t="s">
        <v>318</v>
      </c>
      <c r="C35" s="4" t="s">
        <v>335</v>
      </c>
      <c r="D35" s="5" t="s">
        <v>336</v>
      </c>
      <c r="E35" s="5" t="s">
        <v>337</v>
      </c>
      <c r="F35" s="5" t="s">
        <v>338</v>
      </c>
      <c r="G35" s="4">
        <v>0.4437630772590637</v>
      </c>
      <c r="H35" s="5" t="s">
        <v>339</v>
      </c>
      <c r="I35" s="6" t="s">
        <v>340</v>
      </c>
      <c r="J35" s="5" t="s">
        <v>340</v>
      </c>
      <c r="K35" s="8"/>
      <c r="L35" s="7" t="s">
        <v>326</v>
      </c>
      <c r="M35" s="4">
        <v>1.0</v>
      </c>
      <c r="N35" s="4">
        <v>0.0</v>
      </c>
      <c r="O35" s="9">
        <f t="shared" si="1"/>
        <v>5</v>
      </c>
      <c r="P35" s="9" t="str">
        <f t="shared" si="2"/>
        <v>parcial</v>
      </c>
      <c r="Q35" s="5" t="s">
        <v>341</v>
      </c>
      <c r="R35" s="4" t="s">
        <v>34</v>
      </c>
      <c r="S35" s="5" t="s">
        <v>48</v>
      </c>
      <c r="T35" s="8" t="s">
        <v>36</v>
      </c>
      <c r="U35" s="8" t="s">
        <v>34</v>
      </c>
      <c r="V35" s="8" t="s">
        <v>37</v>
      </c>
      <c r="W35" s="8" t="s">
        <v>51</v>
      </c>
      <c r="X35" s="8" t="s">
        <v>39</v>
      </c>
    </row>
    <row r="36" ht="157.5" customHeight="1">
      <c r="A36" s="4">
        <v>35.0</v>
      </c>
      <c r="B36" s="4" t="s">
        <v>318</v>
      </c>
      <c r="C36" s="4" t="s">
        <v>342</v>
      </c>
      <c r="D36" s="5" t="s">
        <v>343</v>
      </c>
      <c r="E36" s="5" t="s">
        <v>344</v>
      </c>
      <c r="F36" s="5" t="s">
        <v>345</v>
      </c>
      <c r="G36" s="4">
        <v>0.3294688761234283</v>
      </c>
      <c r="H36" s="5" t="s">
        <v>346</v>
      </c>
      <c r="I36" s="6" t="s">
        <v>347</v>
      </c>
      <c r="J36" s="7" t="s">
        <v>348</v>
      </c>
      <c r="K36" s="8"/>
      <c r="L36" s="7" t="s">
        <v>326</v>
      </c>
      <c r="M36" s="4">
        <v>1.0</v>
      </c>
      <c r="N36" s="4">
        <v>0.0</v>
      </c>
      <c r="O36" s="9">
        <f t="shared" si="1"/>
        <v>5</v>
      </c>
      <c r="P36" s="9" t="str">
        <f t="shared" si="2"/>
        <v>parcial</v>
      </c>
      <c r="Q36" s="5" t="s">
        <v>349</v>
      </c>
      <c r="R36" s="4" t="s">
        <v>34</v>
      </c>
      <c r="S36" s="5" t="s">
        <v>120</v>
      </c>
      <c r="T36" s="8" t="s">
        <v>36</v>
      </c>
      <c r="U36" s="8" t="s">
        <v>34</v>
      </c>
      <c r="V36" s="8" t="s">
        <v>37</v>
      </c>
      <c r="W36" s="8" t="s">
        <v>51</v>
      </c>
      <c r="X36" s="8" t="s">
        <v>39</v>
      </c>
    </row>
    <row r="37" ht="157.5" customHeight="1">
      <c r="A37" s="4">
        <v>36.0</v>
      </c>
      <c r="B37" s="4" t="s">
        <v>318</v>
      </c>
      <c r="C37" s="4" t="s">
        <v>350</v>
      </c>
      <c r="D37" s="5" t="s">
        <v>351</v>
      </c>
      <c r="E37" s="5" t="s">
        <v>352</v>
      </c>
      <c r="F37" s="5" t="s">
        <v>353</v>
      </c>
      <c r="G37" s="4">
        <v>0.3572584390640259</v>
      </c>
      <c r="H37" s="5" t="s">
        <v>354</v>
      </c>
      <c r="I37" s="6" t="s">
        <v>355</v>
      </c>
      <c r="J37" s="5" t="s">
        <v>355</v>
      </c>
      <c r="K37" s="8"/>
      <c r="L37" s="7" t="s">
        <v>326</v>
      </c>
      <c r="M37" s="4">
        <v>1.0</v>
      </c>
      <c r="N37" s="4">
        <v>0.0</v>
      </c>
      <c r="O37" s="9">
        <f t="shared" si="1"/>
        <v>5</v>
      </c>
      <c r="P37" s="9" t="str">
        <f t="shared" si="2"/>
        <v>parcial</v>
      </c>
      <c r="Q37" s="5" t="s">
        <v>356</v>
      </c>
      <c r="R37" s="4" t="s">
        <v>34</v>
      </c>
      <c r="S37" s="5" t="s">
        <v>357</v>
      </c>
      <c r="T37" s="8" t="s">
        <v>36</v>
      </c>
      <c r="U37" s="8" t="s">
        <v>34</v>
      </c>
      <c r="V37" s="8" t="s">
        <v>37</v>
      </c>
      <c r="W37" s="8" t="s">
        <v>51</v>
      </c>
      <c r="X37" s="8" t="s">
        <v>39</v>
      </c>
    </row>
    <row r="38" ht="15.75" customHeight="1">
      <c r="D38" s="19"/>
      <c r="E38" s="19"/>
      <c r="F38" s="19"/>
      <c r="H38" s="19"/>
      <c r="I38" s="5"/>
      <c r="J38" s="19"/>
      <c r="K38" s="19"/>
      <c r="L38" s="19"/>
      <c r="O38" s="20"/>
      <c r="P38" s="20"/>
      <c r="Q38" s="19"/>
      <c r="S38" s="19"/>
      <c r="T38" s="19"/>
      <c r="U38" s="19"/>
      <c r="V38" s="19"/>
      <c r="W38" s="19"/>
      <c r="X38" s="19"/>
    </row>
    <row r="39" ht="15.75" customHeight="1">
      <c r="D39" s="19"/>
      <c r="E39" s="19"/>
      <c r="F39" s="19"/>
      <c r="H39" s="19"/>
      <c r="I39" s="5"/>
      <c r="J39" s="19"/>
      <c r="K39" s="19"/>
      <c r="L39" s="19"/>
      <c r="O39" s="20"/>
      <c r="P39" s="20"/>
      <c r="Q39" s="19"/>
      <c r="S39" s="19"/>
      <c r="T39" s="19"/>
      <c r="U39" s="19"/>
      <c r="V39" s="19"/>
      <c r="W39" s="19"/>
      <c r="X39" s="19"/>
    </row>
    <row r="40" ht="15.75" customHeight="1">
      <c r="D40" s="19"/>
      <c r="E40" s="19"/>
      <c r="F40" s="19"/>
      <c r="H40" s="19"/>
      <c r="I40" s="5"/>
      <c r="J40" s="19"/>
      <c r="K40" s="19"/>
      <c r="L40" s="19"/>
      <c r="O40" s="20"/>
      <c r="P40" s="20"/>
      <c r="Q40" s="19"/>
      <c r="S40" s="19"/>
      <c r="T40" s="19"/>
      <c r="U40" s="19"/>
      <c r="V40" s="19"/>
      <c r="W40" s="19"/>
      <c r="X40" s="19"/>
    </row>
    <row r="41" ht="15.75" customHeight="1">
      <c r="D41" s="19"/>
      <c r="E41" s="19"/>
      <c r="F41" s="19"/>
      <c r="H41" s="19"/>
      <c r="I41" s="5"/>
      <c r="J41" s="19"/>
      <c r="K41" s="19"/>
      <c r="L41" s="19"/>
      <c r="O41" s="20"/>
      <c r="P41" s="20"/>
      <c r="Q41" s="19"/>
      <c r="S41" s="19"/>
      <c r="T41" s="19"/>
      <c r="U41" s="19"/>
      <c r="V41" s="19"/>
      <c r="W41" s="19"/>
      <c r="X41" s="19"/>
    </row>
    <row r="42" ht="15.75" customHeight="1">
      <c r="D42" s="19"/>
      <c r="E42" s="19"/>
      <c r="F42" s="19"/>
      <c r="H42" s="19"/>
      <c r="I42" s="5"/>
      <c r="J42" s="19"/>
      <c r="K42" s="19"/>
      <c r="L42" s="19"/>
      <c r="O42" s="20"/>
      <c r="P42" s="20"/>
      <c r="Q42" s="19"/>
      <c r="S42" s="19"/>
      <c r="T42" s="19"/>
      <c r="U42" s="19"/>
      <c r="V42" s="19"/>
      <c r="W42" s="19"/>
      <c r="X42" s="19"/>
    </row>
    <row r="43" ht="15.75" customHeight="1">
      <c r="D43" s="19"/>
      <c r="E43" s="19"/>
      <c r="F43" s="19"/>
      <c r="H43" s="19"/>
      <c r="I43" s="5"/>
      <c r="J43" s="19"/>
      <c r="K43" s="19"/>
      <c r="L43" s="19"/>
      <c r="O43" s="20"/>
      <c r="P43" s="20"/>
      <c r="Q43" s="19"/>
      <c r="S43" s="19"/>
      <c r="T43" s="19"/>
      <c r="U43" s="19"/>
      <c r="V43" s="19"/>
      <c r="W43" s="19"/>
      <c r="X43" s="19"/>
    </row>
    <row r="44" ht="15.75" customHeight="1">
      <c r="D44" s="19"/>
      <c r="E44" s="19"/>
      <c r="F44" s="19"/>
      <c r="H44" s="19"/>
      <c r="I44" s="5"/>
      <c r="J44" s="19"/>
      <c r="K44" s="19"/>
      <c r="L44" s="19"/>
      <c r="O44" s="20"/>
      <c r="P44" s="20"/>
      <c r="Q44" s="19"/>
      <c r="S44" s="19"/>
      <c r="T44" s="19"/>
      <c r="U44" s="19"/>
      <c r="V44" s="19"/>
      <c r="W44" s="19"/>
      <c r="X44" s="19"/>
    </row>
    <row r="45" ht="15.75" customHeight="1">
      <c r="D45" s="19"/>
      <c r="E45" s="19"/>
      <c r="F45" s="19"/>
      <c r="H45" s="19"/>
      <c r="I45" s="5"/>
      <c r="J45" s="19"/>
      <c r="K45" s="19"/>
      <c r="L45" s="19"/>
      <c r="O45" s="20"/>
      <c r="P45" s="20"/>
      <c r="Q45" s="19"/>
      <c r="S45" s="19"/>
      <c r="T45" s="19"/>
      <c r="U45" s="19"/>
      <c r="V45" s="19"/>
      <c r="W45" s="19"/>
      <c r="X45" s="19"/>
    </row>
    <row r="46" ht="15.75" customHeight="1">
      <c r="D46" s="19"/>
      <c r="E46" s="19"/>
      <c r="F46" s="19"/>
      <c r="H46" s="19"/>
      <c r="I46" s="5"/>
      <c r="J46" s="19"/>
      <c r="K46" s="19"/>
      <c r="L46" s="19"/>
      <c r="O46" s="20"/>
      <c r="P46" s="20"/>
      <c r="Q46" s="19"/>
      <c r="S46" s="19"/>
      <c r="T46" s="19"/>
      <c r="U46" s="19"/>
      <c r="V46" s="19"/>
      <c r="W46" s="19"/>
      <c r="X46" s="19"/>
    </row>
    <row r="47" ht="15.75" customHeight="1">
      <c r="D47" s="19"/>
      <c r="E47" s="19"/>
      <c r="F47" s="19"/>
      <c r="H47" s="19"/>
      <c r="I47" s="5"/>
      <c r="J47" s="19"/>
      <c r="K47" s="19"/>
      <c r="L47" s="19"/>
      <c r="O47" s="20"/>
      <c r="P47" s="20"/>
      <c r="Q47" s="19"/>
      <c r="S47" s="19"/>
      <c r="T47" s="19"/>
      <c r="U47" s="19"/>
      <c r="V47" s="19"/>
      <c r="W47" s="19"/>
      <c r="X47" s="19"/>
    </row>
    <row r="48" ht="15.75" customHeight="1">
      <c r="D48" s="19"/>
      <c r="E48" s="19"/>
      <c r="F48" s="19"/>
      <c r="H48" s="19"/>
      <c r="I48" s="5"/>
      <c r="J48" s="19"/>
      <c r="K48" s="19"/>
      <c r="L48" s="19"/>
      <c r="O48" s="20"/>
      <c r="P48" s="20"/>
      <c r="Q48" s="19"/>
      <c r="S48" s="19"/>
      <c r="T48" s="19"/>
      <c r="U48" s="19"/>
      <c r="V48" s="19"/>
      <c r="W48" s="19"/>
      <c r="X48" s="19"/>
    </row>
    <row r="49" ht="15.75" customHeight="1">
      <c r="D49" s="19"/>
      <c r="E49" s="19"/>
      <c r="F49" s="19"/>
      <c r="H49" s="19"/>
      <c r="I49" s="5"/>
      <c r="J49" s="19"/>
      <c r="K49" s="19"/>
      <c r="L49" s="19"/>
      <c r="O49" s="20"/>
      <c r="P49" s="20"/>
      <c r="Q49" s="19"/>
      <c r="S49" s="19"/>
      <c r="T49" s="19"/>
      <c r="U49" s="19"/>
      <c r="V49" s="19"/>
      <c r="W49" s="19"/>
      <c r="X49" s="19"/>
    </row>
    <row r="50" ht="15.75" customHeight="1">
      <c r="D50" s="19"/>
      <c r="E50" s="19"/>
      <c r="F50" s="19"/>
      <c r="H50" s="19"/>
      <c r="I50" s="5"/>
      <c r="J50" s="19"/>
      <c r="K50" s="19"/>
      <c r="L50" s="19"/>
      <c r="O50" s="20"/>
      <c r="P50" s="20"/>
      <c r="Q50" s="19"/>
      <c r="S50" s="19"/>
      <c r="T50" s="19"/>
      <c r="U50" s="19"/>
      <c r="V50" s="19"/>
      <c r="W50" s="19"/>
      <c r="X50" s="19"/>
    </row>
    <row r="51" ht="15.75" customHeight="1">
      <c r="D51" s="19"/>
      <c r="E51" s="19"/>
      <c r="F51" s="19"/>
      <c r="H51" s="19"/>
      <c r="I51" s="5"/>
      <c r="J51" s="19"/>
      <c r="K51" s="19"/>
      <c r="L51" s="19"/>
      <c r="O51" s="20"/>
      <c r="P51" s="20"/>
      <c r="Q51" s="19"/>
      <c r="S51" s="19"/>
      <c r="T51" s="19"/>
      <c r="U51" s="19"/>
      <c r="V51" s="19"/>
      <c r="W51" s="19"/>
      <c r="X51" s="19"/>
    </row>
    <row r="52" ht="15.75" customHeight="1">
      <c r="D52" s="19"/>
      <c r="E52" s="19"/>
      <c r="F52" s="19"/>
      <c r="H52" s="19"/>
      <c r="I52" s="5"/>
      <c r="J52" s="19"/>
      <c r="K52" s="19"/>
      <c r="L52" s="19"/>
      <c r="O52" s="20"/>
      <c r="P52" s="20"/>
      <c r="Q52" s="19"/>
      <c r="S52" s="19"/>
      <c r="T52" s="19"/>
      <c r="U52" s="19"/>
      <c r="V52" s="19"/>
      <c r="W52" s="19"/>
      <c r="X52" s="19"/>
    </row>
    <row r="53" ht="15.75" customHeight="1">
      <c r="D53" s="19"/>
      <c r="E53" s="19"/>
      <c r="F53" s="19"/>
      <c r="H53" s="19"/>
      <c r="I53" s="5"/>
      <c r="J53" s="19"/>
      <c r="K53" s="19"/>
      <c r="L53" s="19"/>
      <c r="O53" s="20"/>
      <c r="P53" s="20"/>
      <c r="Q53" s="19"/>
      <c r="S53" s="19"/>
      <c r="T53" s="19"/>
      <c r="U53" s="19"/>
      <c r="V53" s="19"/>
      <c r="W53" s="19"/>
      <c r="X53" s="19"/>
    </row>
    <row r="54" ht="15.75" customHeight="1">
      <c r="D54" s="19"/>
      <c r="E54" s="19"/>
      <c r="F54" s="19"/>
      <c r="H54" s="19"/>
      <c r="I54" s="5"/>
      <c r="J54" s="19"/>
      <c r="K54" s="19"/>
      <c r="L54" s="19"/>
      <c r="O54" s="20"/>
      <c r="P54" s="20"/>
      <c r="Q54" s="19"/>
      <c r="S54" s="19"/>
      <c r="T54" s="19"/>
      <c r="U54" s="19"/>
      <c r="V54" s="19"/>
      <c r="W54" s="19"/>
      <c r="X54" s="19"/>
    </row>
    <row r="55" ht="15.75" customHeight="1">
      <c r="D55" s="19"/>
      <c r="E55" s="19"/>
      <c r="F55" s="19"/>
      <c r="H55" s="19"/>
      <c r="I55" s="5"/>
      <c r="J55" s="19"/>
      <c r="K55" s="19"/>
      <c r="L55" s="19"/>
      <c r="O55" s="20"/>
      <c r="P55" s="20"/>
      <c r="Q55" s="19"/>
      <c r="S55" s="19"/>
      <c r="T55" s="19"/>
      <c r="U55" s="19"/>
      <c r="V55" s="19"/>
      <c r="W55" s="19"/>
      <c r="X55" s="19"/>
    </row>
    <row r="56" ht="15.75" customHeight="1">
      <c r="D56" s="19"/>
      <c r="E56" s="19"/>
      <c r="F56" s="19"/>
      <c r="H56" s="19"/>
      <c r="I56" s="5"/>
      <c r="J56" s="19"/>
      <c r="K56" s="19"/>
      <c r="L56" s="19"/>
      <c r="O56" s="20"/>
      <c r="P56" s="20"/>
      <c r="Q56" s="19"/>
      <c r="S56" s="19"/>
      <c r="T56" s="19"/>
      <c r="U56" s="19"/>
      <c r="V56" s="19"/>
      <c r="W56" s="19"/>
      <c r="X56" s="19"/>
    </row>
    <row r="57" ht="15.75" customHeight="1">
      <c r="D57" s="19"/>
      <c r="E57" s="19"/>
      <c r="F57" s="19"/>
      <c r="H57" s="19"/>
      <c r="I57" s="5"/>
      <c r="J57" s="19"/>
      <c r="K57" s="19"/>
      <c r="L57" s="19"/>
      <c r="O57" s="20"/>
      <c r="P57" s="20"/>
      <c r="Q57" s="19"/>
      <c r="S57" s="19"/>
      <c r="T57" s="19"/>
      <c r="U57" s="19"/>
      <c r="V57" s="19"/>
      <c r="W57" s="19"/>
      <c r="X57" s="19"/>
    </row>
    <row r="58" ht="15.75" customHeight="1">
      <c r="D58" s="19"/>
      <c r="E58" s="19"/>
      <c r="F58" s="19"/>
      <c r="H58" s="19"/>
      <c r="I58" s="5"/>
      <c r="J58" s="19"/>
      <c r="K58" s="19"/>
      <c r="L58" s="19"/>
      <c r="O58" s="20"/>
      <c r="P58" s="20"/>
      <c r="Q58" s="19"/>
      <c r="S58" s="19"/>
      <c r="T58" s="19"/>
      <c r="U58" s="19"/>
      <c r="V58" s="19"/>
      <c r="W58" s="19"/>
      <c r="X58" s="19"/>
    </row>
    <row r="59" ht="15.75" customHeight="1">
      <c r="D59" s="19"/>
      <c r="E59" s="19"/>
      <c r="F59" s="19"/>
      <c r="H59" s="19"/>
      <c r="I59" s="5"/>
      <c r="J59" s="19"/>
      <c r="K59" s="19"/>
      <c r="L59" s="19"/>
      <c r="O59" s="20"/>
      <c r="P59" s="20"/>
      <c r="Q59" s="19"/>
      <c r="S59" s="19"/>
      <c r="T59" s="19"/>
      <c r="U59" s="19"/>
      <c r="V59" s="19"/>
      <c r="W59" s="19"/>
      <c r="X59" s="19"/>
    </row>
    <row r="60" ht="15.75" customHeight="1">
      <c r="D60" s="19"/>
      <c r="E60" s="19"/>
      <c r="F60" s="19"/>
      <c r="H60" s="19"/>
      <c r="I60" s="5"/>
      <c r="J60" s="19"/>
      <c r="K60" s="19"/>
      <c r="L60" s="19"/>
      <c r="O60" s="20"/>
      <c r="P60" s="20"/>
      <c r="Q60" s="19"/>
      <c r="S60" s="19"/>
      <c r="T60" s="19"/>
      <c r="U60" s="19"/>
      <c r="V60" s="19"/>
      <c r="W60" s="19"/>
      <c r="X60" s="19"/>
    </row>
    <row r="61" ht="15.75" customHeight="1">
      <c r="D61" s="19"/>
      <c r="E61" s="19"/>
      <c r="F61" s="19"/>
      <c r="H61" s="19"/>
      <c r="I61" s="5"/>
      <c r="J61" s="19"/>
      <c r="K61" s="19"/>
      <c r="L61" s="19"/>
      <c r="O61" s="20"/>
      <c r="P61" s="20"/>
      <c r="Q61" s="19"/>
      <c r="S61" s="19"/>
      <c r="T61" s="19"/>
      <c r="U61" s="19"/>
      <c r="V61" s="19"/>
      <c r="W61" s="19"/>
      <c r="X61" s="19"/>
    </row>
    <row r="62" ht="15.75" customHeight="1">
      <c r="D62" s="19"/>
      <c r="E62" s="19"/>
      <c r="F62" s="19"/>
      <c r="H62" s="19"/>
      <c r="I62" s="5"/>
      <c r="J62" s="19"/>
      <c r="K62" s="19"/>
      <c r="L62" s="19"/>
      <c r="O62" s="20"/>
      <c r="P62" s="20"/>
      <c r="Q62" s="19"/>
      <c r="S62" s="19"/>
      <c r="T62" s="19"/>
      <c r="U62" s="19"/>
      <c r="V62" s="19"/>
      <c r="W62" s="19"/>
      <c r="X62" s="19"/>
    </row>
    <row r="63" ht="15.75" customHeight="1">
      <c r="D63" s="19"/>
      <c r="E63" s="19"/>
      <c r="F63" s="19"/>
      <c r="H63" s="19"/>
      <c r="I63" s="5"/>
      <c r="J63" s="19"/>
      <c r="K63" s="19"/>
      <c r="L63" s="19"/>
      <c r="O63" s="20"/>
      <c r="P63" s="20"/>
      <c r="Q63" s="19"/>
      <c r="S63" s="19"/>
      <c r="T63" s="19"/>
      <c r="U63" s="19"/>
      <c r="V63" s="19"/>
      <c r="W63" s="19"/>
      <c r="X63" s="19"/>
    </row>
    <row r="64" ht="15.75" customHeight="1">
      <c r="D64" s="19"/>
      <c r="E64" s="19"/>
      <c r="F64" s="19"/>
      <c r="H64" s="19"/>
      <c r="I64" s="5"/>
      <c r="J64" s="19"/>
      <c r="K64" s="19"/>
      <c r="L64" s="19"/>
      <c r="O64" s="20"/>
      <c r="P64" s="20"/>
      <c r="Q64" s="19"/>
      <c r="S64" s="19"/>
      <c r="T64" s="19"/>
      <c r="U64" s="19"/>
      <c r="V64" s="19"/>
      <c r="W64" s="19"/>
      <c r="X64" s="19"/>
    </row>
    <row r="65" ht="15.75" customHeight="1">
      <c r="D65" s="19"/>
      <c r="E65" s="19"/>
      <c r="F65" s="19"/>
      <c r="H65" s="19"/>
      <c r="I65" s="5"/>
      <c r="J65" s="19"/>
      <c r="K65" s="19"/>
      <c r="L65" s="19"/>
      <c r="O65" s="20"/>
      <c r="P65" s="20"/>
      <c r="Q65" s="19"/>
      <c r="S65" s="19"/>
      <c r="T65" s="19"/>
      <c r="U65" s="19"/>
      <c r="V65" s="19"/>
      <c r="W65" s="19"/>
      <c r="X65" s="19"/>
    </row>
    <row r="66" ht="15.75" customHeight="1">
      <c r="D66" s="19"/>
      <c r="E66" s="19"/>
      <c r="F66" s="19"/>
      <c r="H66" s="19"/>
      <c r="I66" s="5"/>
      <c r="J66" s="19"/>
      <c r="K66" s="19"/>
      <c r="L66" s="19"/>
      <c r="O66" s="20"/>
      <c r="P66" s="20"/>
      <c r="Q66" s="19"/>
      <c r="S66" s="19"/>
      <c r="T66" s="19"/>
      <c r="U66" s="19"/>
      <c r="V66" s="19"/>
      <c r="W66" s="19"/>
      <c r="X66" s="19"/>
    </row>
    <row r="67" ht="15.75" customHeight="1">
      <c r="D67" s="19"/>
      <c r="E67" s="19"/>
      <c r="F67" s="19"/>
      <c r="H67" s="19"/>
      <c r="I67" s="5"/>
      <c r="J67" s="19"/>
      <c r="K67" s="19"/>
      <c r="L67" s="19"/>
      <c r="O67" s="20"/>
      <c r="P67" s="20"/>
      <c r="Q67" s="19"/>
      <c r="S67" s="19"/>
      <c r="T67" s="19"/>
      <c r="U67" s="19"/>
      <c r="V67" s="19"/>
      <c r="W67" s="19"/>
      <c r="X67" s="19"/>
    </row>
    <row r="68" ht="15.75" customHeight="1">
      <c r="D68" s="19"/>
      <c r="E68" s="19"/>
      <c r="F68" s="19"/>
      <c r="H68" s="19"/>
      <c r="I68" s="5"/>
      <c r="J68" s="19"/>
      <c r="K68" s="19"/>
      <c r="L68" s="19"/>
      <c r="O68" s="20"/>
      <c r="P68" s="20"/>
      <c r="Q68" s="19"/>
      <c r="S68" s="19"/>
      <c r="T68" s="19"/>
      <c r="U68" s="19"/>
      <c r="V68" s="19"/>
      <c r="W68" s="19"/>
      <c r="X68" s="19"/>
    </row>
    <row r="69" ht="15.75" customHeight="1">
      <c r="D69" s="19"/>
      <c r="E69" s="19"/>
      <c r="F69" s="19"/>
      <c r="H69" s="19"/>
      <c r="I69" s="5"/>
      <c r="J69" s="19"/>
      <c r="K69" s="19"/>
      <c r="L69" s="19"/>
      <c r="O69" s="20"/>
      <c r="P69" s="20"/>
      <c r="Q69" s="19"/>
      <c r="S69" s="19"/>
      <c r="T69" s="19"/>
      <c r="U69" s="19"/>
      <c r="V69" s="19"/>
      <c r="W69" s="19"/>
      <c r="X69" s="19"/>
    </row>
    <row r="70" ht="15.75" customHeight="1">
      <c r="D70" s="19"/>
      <c r="E70" s="19"/>
      <c r="F70" s="19"/>
      <c r="H70" s="19"/>
      <c r="I70" s="5"/>
      <c r="J70" s="19"/>
      <c r="K70" s="19"/>
      <c r="L70" s="19"/>
      <c r="O70" s="20"/>
      <c r="P70" s="20"/>
      <c r="Q70" s="19"/>
      <c r="S70" s="19"/>
      <c r="T70" s="19"/>
      <c r="U70" s="19"/>
      <c r="V70" s="19"/>
      <c r="W70" s="19"/>
      <c r="X70" s="19"/>
    </row>
    <row r="71" ht="15.75" customHeight="1">
      <c r="D71" s="19"/>
      <c r="E71" s="19"/>
      <c r="F71" s="19"/>
      <c r="H71" s="19"/>
      <c r="I71" s="5"/>
      <c r="J71" s="19"/>
      <c r="K71" s="19"/>
      <c r="L71" s="19"/>
      <c r="O71" s="20"/>
      <c r="P71" s="20"/>
      <c r="Q71" s="19"/>
      <c r="S71" s="19"/>
      <c r="T71" s="19"/>
      <c r="U71" s="19"/>
      <c r="V71" s="19"/>
      <c r="W71" s="19"/>
      <c r="X71" s="19"/>
    </row>
    <row r="72" ht="15.75" customHeight="1">
      <c r="D72" s="19"/>
      <c r="E72" s="19"/>
      <c r="F72" s="19"/>
      <c r="H72" s="19"/>
      <c r="I72" s="5"/>
      <c r="J72" s="19"/>
      <c r="K72" s="19"/>
      <c r="L72" s="19"/>
      <c r="O72" s="20"/>
      <c r="P72" s="20"/>
      <c r="Q72" s="19"/>
      <c r="S72" s="19"/>
      <c r="T72" s="19"/>
      <c r="U72" s="19"/>
      <c r="V72" s="19"/>
      <c r="W72" s="19"/>
      <c r="X72" s="19"/>
    </row>
    <row r="73" ht="15.75" customHeight="1">
      <c r="D73" s="19"/>
      <c r="E73" s="19"/>
      <c r="F73" s="19"/>
      <c r="H73" s="19"/>
      <c r="I73" s="5"/>
      <c r="J73" s="19"/>
      <c r="K73" s="19"/>
      <c r="L73" s="19"/>
      <c r="O73" s="20"/>
      <c r="P73" s="20"/>
      <c r="Q73" s="19"/>
      <c r="S73" s="19"/>
      <c r="T73" s="19"/>
      <c r="U73" s="19"/>
      <c r="V73" s="19"/>
      <c r="W73" s="19"/>
      <c r="X73" s="19"/>
    </row>
    <row r="74" ht="15.75" customHeight="1">
      <c r="D74" s="19"/>
      <c r="E74" s="19"/>
      <c r="F74" s="19"/>
      <c r="H74" s="19"/>
      <c r="I74" s="5"/>
      <c r="J74" s="19"/>
      <c r="K74" s="19"/>
      <c r="L74" s="19"/>
      <c r="O74" s="20"/>
      <c r="P74" s="20"/>
      <c r="Q74" s="19"/>
      <c r="S74" s="19"/>
      <c r="T74" s="19"/>
      <c r="U74" s="19"/>
      <c r="V74" s="19"/>
      <c r="W74" s="19"/>
      <c r="X74" s="19"/>
    </row>
    <row r="75" ht="15.75" customHeight="1">
      <c r="D75" s="19"/>
      <c r="E75" s="19"/>
      <c r="F75" s="19"/>
      <c r="H75" s="19"/>
      <c r="I75" s="5"/>
      <c r="J75" s="19"/>
      <c r="K75" s="19"/>
      <c r="L75" s="19"/>
      <c r="O75" s="20"/>
      <c r="P75" s="20"/>
      <c r="Q75" s="19"/>
      <c r="S75" s="19"/>
      <c r="T75" s="19"/>
      <c r="U75" s="19"/>
      <c r="V75" s="19"/>
      <c r="W75" s="19"/>
      <c r="X75" s="19"/>
    </row>
    <row r="76" ht="15.75" customHeight="1">
      <c r="D76" s="19"/>
      <c r="E76" s="19"/>
      <c r="F76" s="19"/>
      <c r="H76" s="19"/>
      <c r="I76" s="5"/>
      <c r="J76" s="19"/>
      <c r="K76" s="19"/>
      <c r="L76" s="19"/>
      <c r="O76" s="20"/>
      <c r="P76" s="20"/>
      <c r="Q76" s="19"/>
      <c r="S76" s="19"/>
      <c r="T76" s="19"/>
      <c r="U76" s="19"/>
      <c r="V76" s="19"/>
      <c r="W76" s="19"/>
      <c r="X76" s="19"/>
    </row>
    <row r="77" ht="15.75" customHeight="1">
      <c r="D77" s="19"/>
      <c r="E77" s="19"/>
      <c r="F77" s="19"/>
      <c r="H77" s="19"/>
      <c r="I77" s="5"/>
      <c r="J77" s="19"/>
      <c r="K77" s="19"/>
      <c r="L77" s="19"/>
      <c r="O77" s="20"/>
      <c r="P77" s="20"/>
      <c r="Q77" s="19"/>
      <c r="S77" s="19"/>
      <c r="T77" s="19"/>
      <c r="U77" s="19"/>
      <c r="V77" s="19"/>
      <c r="W77" s="19"/>
      <c r="X77" s="19"/>
    </row>
    <row r="78" ht="15.75" customHeight="1">
      <c r="D78" s="19"/>
      <c r="E78" s="19"/>
      <c r="F78" s="19"/>
      <c r="H78" s="19"/>
      <c r="I78" s="5"/>
      <c r="J78" s="19"/>
      <c r="K78" s="19"/>
      <c r="L78" s="19"/>
      <c r="O78" s="20"/>
      <c r="P78" s="20"/>
      <c r="Q78" s="19"/>
      <c r="S78" s="19"/>
      <c r="T78" s="19"/>
      <c r="U78" s="19"/>
      <c r="V78" s="19"/>
      <c r="W78" s="19"/>
      <c r="X78" s="19"/>
    </row>
    <row r="79" ht="15.75" customHeight="1">
      <c r="D79" s="19"/>
      <c r="E79" s="19"/>
      <c r="F79" s="19"/>
      <c r="H79" s="19"/>
      <c r="I79" s="5"/>
      <c r="J79" s="19"/>
      <c r="K79" s="19"/>
      <c r="L79" s="19"/>
      <c r="O79" s="20"/>
      <c r="P79" s="20"/>
      <c r="Q79" s="19"/>
      <c r="S79" s="19"/>
      <c r="T79" s="19"/>
      <c r="U79" s="19"/>
      <c r="V79" s="19"/>
      <c r="W79" s="19"/>
      <c r="X79" s="19"/>
    </row>
    <row r="80" ht="15.75" customHeight="1">
      <c r="D80" s="19"/>
      <c r="E80" s="19"/>
      <c r="F80" s="19"/>
      <c r="H80" s="19"/>
      <c r="I80" s="5"/>
      <c r="J80" s="19"/>
      <c r="K80" s="19"/>
      <c r="L80" s="19"/>
      <c r="O80" s="20"/>
      <c r="P80" s="20"/>
      <c r="Q80" s="19"/>
      <c r="S80" s="19"/>
      <c r="T80" s="19"/>
      <c r="U80" s="19"/>
      <c r="V80" s="19"/>
      <c r="W80" s="19"/>
      <c r="X80" s="19"/>
    </row>
    <row r="81" ht="15.75" customHeight="1">
      <c r="D81" s="19"/>
      <c r="E81" s="19"/>
      <c r="F81" s="19"/>
      <c r="H81" s="19"/>
      <c r="I81" s="5"/>
      <c r="J81" s="19"/>
      <c r="K81" s="19"/>
      <c r="L81" s="19"/>
      <c r="O81" s="20"/>
      <c r="P81" s="20"/>
      <c r="Q81" s="19"/>
      <c r="S81" s="19"/>
      <c r="T81" s="19"/>
      <c r="U81" s="19"/>
      <c r="V81" s="19"/>
      <c r="W81" s="19"/>
      <c r="X81" s="19"/>
    </row>
    <row r="82" ht="15.75" customHeight="1">
      <c r="D82" s="19"/>
      <c r="E82" s="19"/>
      <c r="F82" s="19"/>
      <c r="H82" s="19"/>
      <c r="I82" s="5"/>
      <c r="J82" s="19"/>
      <c r="K82" s="19"/>
      <c r="L82" s="19"/>
      <c r="O82" s="20"/>
      <c r="P82" s="20"/>
      <c r="Q82" s="19"/>
      <c r="S82" s="19"/>
      <c r="T82" s="19"/>
      <c r="U82" s="19"/>
      <c r="V82" s="19"/>
      <c r="W82" s="19"/>
      <c r="X82" s="19"/>
    </row>
    <row r="83" ht="15.75" customHeight="1">
      <c r="D83" s="19"/>
      <c r="E83" s="19"/>
      <c r="F83" s="19"/>
      <c r="H83" s="19"/>
      <c r="I83" s="5"/>
      <c r="J83" s="19"/>
      <c r="K83" s="19"/>
      <c r="L83" s="19"/>
      <c r="O83" s="20"/>
      <c r="P83" s="20"/>
      <c r="Q83" s="19"/>
      <c r="S83" s="19"/>
      <c r="T83" s="19"/>
      <c r="U83" s="19"/>
      <c r="V83" s="19"/>
      <c r="W83" s="19"/>
      <c r="X83" s="19"/>
    </row>
    <row r="84" ht="15.75" customHeight="1">
      <c r="D84" s="19"/>
      <c r="E84" s="19"/>
      <c r="F84" s="19"/>
      <c r="H84" s="19"/>
      <c r="I84" s="5"/>
      <c r="J84" s="19"/>
      <c r="K84" s="19"/>
      <c r="L84" s="19"/>
      <c r="O84" s="20"/>
      <c r="P84" s="20"/>
      <c r="Q84" s="19"/>
      <c r="S84" s="19"/>
      <c r="T84" s="19"/>
      <c r="U84" s="19"/>
      <c r="V84" s="19"/>
      <c r="W84" s="19"/>
      <c r="X84" s="19"/>
    </row>
    <row r="85" ht="15.75" customHeight="1">
      <c r="D85" s="19"/>
      <c r="E85" s="19"/>
      <c r="F85" s="19"/>
      <c r="H85" s="19"/>
      <c r="I85" s="5"/>
      <c r="J85" s="19"/>
      <c r="K85" s="19"/>
      <c r="L85" s="19"/>
      <c r="O85" s="20"/>
      <c r="P85" s="20"/>
      <c r="Q85" s="19"/>
      <c r="S85" s="19"/>
      <c r="T85" s="19"/>
      <c r="U85" s="19"/>
      <c r="V85" s="19"/>
      <c r="W85" s="19"/>
      <c r="X85" s="19"/>
    </row>
    <row r="86" ht="15.75" customHeight="1">
      <c r="D86" s="19"/>
      <c r="E86" s="19"/>
      <c r="F86" s="19"/>
      <c r="H86" s="19"/>
      <c r="I86" s="5"/>
      <c r="J86" s="19"/>
      <c r="K86" s="19"/>
      <c r="L86" s="19"/>
      <c r="O86" s="20"/>
      <c r="P86" s="20"/>
      <c r="Q86" s="19"/>
      <c r="S86" s="19"/>
      <c r="T86" s="19"/>
      <c r="U86" s="19"/>
      <c r="V86" s="19"/>
      <c r="W86" s="19"/>
      <c r="X86" s="19"/>
    </row>
    <row r="87" ht="15.75" customHeight="1">
      <c r="D87" s="19"/>
      <c r="E87" s="19"/>
      <c r="F87" s="19"/>
      <c r="H87" s="19"/>
      <c r="I87" s="5"/>
      <c r="J87" s="19"/>
      <c r="K87" s="19"/>
      <c r="L87" s="19"/>
      <c r="O87" s="20"/>
      <c r="P87" s="20"/>
      <c r="Q87" s="19"/>
      <c r="S87" s="19"/>
      <c r="T87" s="19"/>
      <c r="U87" s="19"/>
      <c r="V87" s="19"/>
      <c r="W87" s="19"/>
      <c r="X87" s="19"/>
    </row>
    <row r="88" ht="15.75" customHeight="1">
      <c r="D88" s="19"/>
      <c r="E88" s="19"/>
      <c r="F88" s="19"/>
      <c r="H88" s="19"/>
      <c r="I88" s="5"/>
      <c r="J88" s="19"/>
      <c r="K88" s="19"/>
      <c r="L88" s="19"/>
      <c r="O88" s="20"/>
      <c r="P88" s="20"/>
      <c r="Q88" s="19"/>
      <c r="S88" s="19"/>
      <c r="T88" s="19"/>
      <c r="U88" s="19"/>
      <c r="V88" s="19"/>
      <c r="W88" s="19"/>
      <c r="X88" s="19"/>
    </row>
    <row r="89" ht="15.75" customHeight="1">
      <c r="D89" s="19"/>
      <c r="E89" s="19"/>
      <c r="F89" s="19"/>
      <c r="H89" s="19"/>
      <c r="I89" s="5"/>
      <c r="J89" s="19"/>
      <c r="K89" s="19"/>
      <c r="L89" s="19"/>
      <c r="O89" s="20"/>
      <c r="P89" s="20"/>
      <c r="Q89" s="19"/>
      <c r="S89" s="19"/>
      <c r="T89" s="19"/>
      <c r="U89" s="19"/>
      <c r="V89" s="19"/>
      <c r="W89" s="19"/>
      <c r="X89" s="19"/>
    </row>
    <row r="90" ht="15.75" customHeight="1">
      <c r="D90" s="19"/>
      <c r="E90" s="19"/>
      <c r="F90" s="19"/>
      <c r="H90" s="19"/>
      <c r="I90" s="5"/>
      <c r="J90" s="19"/>
      <c r="K90" s="19"/>
      <c r="L90" s="19"/>
      <c r="O90" s="20"/>
      <c r="P90" s="20"/>
      <c r="Q90" s="19"/>
      <c r="S90" s="19"/>
      <c r="T90" s="19"/>
      <c r="U90" s="19"/>
      <c r="V90" s="19"/>
      <c r="W90" s="19"/>
      <c r="X90" s="19"/>
    </row>
    <row r="91" ht="15.75" customHeight="1">
      <c r="D91" s="19"/>
      <c r="E91" s="19"/>
      <c r="F91" s="19"/>
      <c r="H91" s="19"/>
      <c r="I91" s="5"/>
      <c r="J91" s="19"/>
      <c r="K91" s="19"/>
      <c r="L91" s="19"/>
      <c r="O91" s="20"/>
      <c r="P91" s="20"/>
      <c r="Q91" s="19"/>
      <c r="S91" s="19"/>
      <c r="T91" s="19"/>
      <c r="U91" s="19"/>
      <c r="V91" s="19"/>
      <c r="W91" s="19"/>
      <c r="X91" s="19"/>
    </row>
    <row r="92" ht="15.75" customHeight="1">
      <c r="D92" s="19"/>
      <c r="E92" s="19"/>
      <c r="F92" s="19"/>
      <c r="H92" s="19"/>
      <c r="I92" s="5"/>
      <c r="J92" s="19"/>
      <c r="K92" s="19"/>
      <c r="L92" s="19"/>
      <c r="O92" s="20"/>
      <c r="P92" s="20"/>
      <c r="Q92" s="19"/>
      <c r="S92" s="19"/>
      <c r="T92" s="19"/>
      <c r="U92" s="19"/>
      <c r="V92" s="19"/>
      <c r="W92" s="19"/>
      <c r="X92" s="19"/>
    </row>
    <row r="93" ht="15.75" customHeight="1">
      <c r="D93" s="19"/>
      <c r="E93" s="19"/>
      <c r="F93" s="19"/>
      <c r="H93" s="19"/>
      <c r="I93" s="5"/>
      <c r="J93" s="19"/>
      <c r="K93" s="19"/>
      <c r="L93" s="19"/>
      <c r="O93" s="20"/>
      <c r="P93" s="20"/>
      <c r="Q93" s="19"/>
      <c r="S93" s="19"/>
      <c r="T93" s="19"/>
      <c r="U93" s="19"/>
      <c r="V93" s="19"/>
      <c r="W93" s="19"/>
      <c r="X93" s="19"/>
    </row>
    <row r="94" ht="15.75" customHeight="1">
      <c r="D94" s="19"/>
      <c r="E94" s="19"/>
      <c r="F94" s="19"/>
      <c r="H94" s="19"/>
      <c r="I94" s="5"/>
      <c r="J94" s="19"/>
      <c r="K94" s="19"/>
      <c r="L94" s="19"/>
      <c r="O94" s="20"/>
      <c r="P94" s="20"/>
      <c r="Q94" s="19"/>
      <c r="S94" s="19"/>
      <c r="T94" s="19"/>
      <c r="U94" s="19"/>
      <c r="V94" s="19"/>
      <c r="W94" s="19"/>
      <c r="X94" s="19"/>
    </row>
    <row r="95" ht="15.75" customHeight="1">
      <c r="D95" s="19"/>
      <c r="E95" s="19"/>
      <c r="F95" s="19"/>
      <c r="H95" s="19"/>
      <c r="I95" s="5"/>
      <c r="J95" s="19"/>
      <c r="K95" s="19"/>
      <c r="L95" s="19"/>
      <c r="O95" s="20"/>
      <c r="P95" s="20"/>
      <c r="Q95" s="19"/>
      <c r="S95" s="19"/>
      <c r="T95" s="19"/>
      <c r="U95" s="19"/>
      <c r="V95" s="19"/>
      <c r="W95" s="19"/>
      <c r="X95" s="19"/>
    </row>
    <row r="96" ht="15.75" customHeight="1">
      <c r="D96" s="19"/>
      <c r="E96" s="19"/>
      <c r="F96" s="19"/>
      <c r="H96" s="19"/>
      <c r="I96" s="5"/>
      <c r="J96" s="19"/>
      <c r="K96" s="19"/>
      <c r="L96" s="19"/>
      <c r="O96" s="20"/>
      <c r="P96" s="20"/>
      <c r="Q96" s="19"/>
      <c r="S96" s="19"/>
      <c r="T96" s="19"/>
      <c r="U96" s="19"/>
      <c r="V96" s="19"/>
      <c r="W96" s="19"/>
      <c r="X96" s="19"/>
    </row>
    <row r="97" ht="15.75" customHeight="1">
      <c r="D97" s="19"/>
      <c r="E97" s="19"/>
      <c r="F97" s="19"/>
      <c r="H97" s="19"/>
      <c r="I97" s="5"/>
      <c r="J97" s="19"/>
      <c r="K97" s="19"/>
      <c r="L97" s="19"/>
      <c r="O97" s="20"/>
      <c r="P97" s="20"/>
      <c r="Q97" s="19"/>
      <c r="S97" s="19"/>
      <c r="T97" s="19"/>
      <c r="U97" s="19"/>
      <c r="V97" s="19"/>
      <c r="W97" s="19"/>
      <c r="X97" s="19"/>
    </row>
    <row r="98" ht="15.75" customHeight="1">
      <c r="D98" s="19"/>
      <c r="E98" s="19"/>
      <c r="F98" s="19"/>
      <c r="H98" s="19"/>
      <c r="I98" s="5"/>
      <c r="J98" s="19"/>
      <c r="K98" s="19"/>
      <c r="L98" s="19"/>
      <c r="O98" s="20"/>
      <c r="P98" s="20"/>
      <c r="Q98" s="19"/>
      <c r="S98" s="19"/>
      <c r="T98" s="19"/>
      <c r="U98" s="19"/>
      <c r="V98" s="19"/>
      <c r="W98" s="19"/>
      <c r="X98" s="19"/>
    </row>
    <row r="99" ht="15.75" customHeight="1">
      <c r="D99" s="19"/>
      <c r="E99" s="19"/>
      <c r="F99" s="19"/>
      <c r="H99" s="19"/>
      <c r="I99" s="5"/>
      <c r="J99" s="19"/>
      <c r="K99" s="19"/>
      <c r="L99" s="19"/>
      <c r="O99" s="20"/>
      <c r="P99" s="20"/>
      <c r="Q99" s="19"/>
      <c r="S99" s="19"/>
      <c r="T99" s="19"/>
      <c r="U99" s="19"/>
      <c r="V99" s="19"/>
      <c r="W99" s="19"/>
      <c r="X99" s="19"/>
    </row>
    <row r="100" ht="15.75" customHeight="1">
      <c r="D100" s="19"/>
      <c r="E100" s="19"/>
      <c r="F100" s="19"/>
      <c r="H100" s="19"/>
      <c r="I100" s="5"/>
      <c r="J100" s="19"/>
      <c r="K100" s="19"/>
      <c r="L100" s="19"/>
      <c r="O100" s="20"/>
      <c r="P100" s="20"/>
      <c r="Q100" s="19"/>
      <c r="S100" s="19"/>
      <c r="T100" s="19"/>
      <c r="U100" s="19"/>
      <c r="V100" s="19"/>
      <c r="W100" s="19"/>
      <c r="X100" s="19"/>
    </row>
    <row r="101" ht="15.75" customHeight="1">
      <c r="D101" s="19"/>
      <c r="E101" s="19"/>
      <c r="F101" s="19"/>
      <c r="H101" s="19"/>
      <c r="I101" s="5"/>
      <c r="J101" s="19"/>
      <c r="K101" s="19"/>
      <c r="L101" s="19"/>
      <c r="O101" s="20"/>
      <c r="P101" s="20"/>
      <c r="Q101" s="19"/>
      <c r="S101" s="19"/>
      <c r="T101" s="19"/>
      <c r="U101" s="19"/>
      <c r="V101" s="19"/>
      <c r="W101" s="19"/>
      <c r="X101" s="19"/>
    </row>
    <row r="102" ht="15.75" customHeight="1">
      <c r="D102" s="19"/>
      <c r="E102" s="19"/>
      <c r="F102" s="19"/>
      <c r="H102" s="19"/>
      <c r="I102" s="5"/>
      <c r="J102" s="19"/>
      <c r="K102" s="19"/>
      <c r="L102" s="19"/>
      <c r="O102" s="20"/>
      <c r="P102" s="20"/>
      <c r="Q102" s="19"/>
      <c r="S102" s="19"/>
      <c r="T102" s="19"/>
      <c r="U102" s="19"/>
      <c r="V102" s="19"/>
      <c r="W102" s="19"/>
      <c r="X102" s="19"/>
    </row>
    <row r="103" ht="15.75" customHeight="1">
      <c r="D103" s="19"/>
      <c r="E103" s="19"/>
      <c r="F103" s="19"/>
      <c r="H103" s="19"/>
      <c r="I103" s="5"/>
      <c r="J103" s="19"/>
      <c r="K103" s="19"/>
      <c r="L103" s="19"/>
      <c r="O103" s="20"/>
      <c r="P103" s="20"/>
      <c r="Q103" s="19"/>
      <c r="S103" s="19"/>
      <c r="T103" s="19"/>
      <c r="U103" s="19"/>
      <c r="V103" s="19"/>
      <c r="W103" s="19"/>
      <c r="X103" s="19"/>
    </row>
    <row r="104" ht="15.75" customHeight="1">
      <c r="D104" s="19"/>
      <c r="E104" s="19"/>
      <c r="F104" s="19"/>
      <c r="H104" s="19"/>
      <c r="I104" s="5"/>
      <c r="J104" s="19"/>
      <c r="K104" s="19"/>
      <c r="L104" s="19"/>
      <c r="O104" s="20"/>
      <c r="P104" s="20"/>
      <c r="Q104" s="19"/>
      <c r="S104" s="19"/>
      <c r="T104" s="19"/>
      <c r="U104" s="19"/>
      <c r="V104" s="19"/>
      <c r="W104" s="19"/>
      <c r="X104" s="19"/>
    </row>
    <row r="105" ht="15.75" customHeight="1">
      <c r="D105" s="19"/>
      <c r="E105" s="19"/>
      <c r="F105" s="19"/>
      <c r="H105" s="19"/>
      <c r="I105" s="5"/>
      <c r="J105" s="19"/>
      <c r="K105" s="19"/>
      <c r="L105" s="19"/>
      <c r="O105" s="20"/>
      <c r="P105" s="20"/>
      <c r="Q105" s="19"/>
      <c r="S105" s="19"/>
      <c r="T105" s="19"/>
      <c r="U105" s="19"/>
      <c r="V105" s="19"/>
      <c r="W105" s="19"/>
      <c r="X105" s="19"/>
    </row>
    <row r="106" ht="15.75" customHeight="1">
      <c r="D106" s="19"/>
      <c r="E106" s="19"/>
      <c r="F106" s="19"/>
      <c r="H106" s="19"/>
      <c r="I106" s="5"/>
      <c r="J106" s="19"/>
      <c r="K106" s="19"/>
      <c r="L106" s="19"/>
      <c r="O106" s="20"/>
      <c r="P106" s="20"/>
      <c r="Q106" s="19"/>
      <c r="S106" s="19"/>
      <c r="T106" s="19"/>
      <c r="U106" s="19"/>
      <c r="V106" s="19"/>
      <c r="W106" s="19"/>
      <c r="X106" s="19"/>
    </row>
    <row r="107" ht="15.75" customHeight="1">
      <c r="D107" s="19"/>
      <c r="E107" s="19"/>
      <c r="F107" s="19"/>
      <c r="H107" s="19"/>
      <c r="I107" s="5"/>
      <c r="J107" s="19"/>
      <c r="K107" s="19"/>
      <c r="L107" s="19"/>
      <c r="O107" s="20"/>
      <c r="P107" s="20"/>
      <c r="Q107" s="19"/>
      <c r="S107" s="19"/>
      <c r="T107" s="19"/>
      <c r="U107" s="19"/>
      <c r="V107" s="19"/>
      <c r="W107" s="19"/>
      <c r="X107" s="19"/>
    </row>
    <row r="108" ht="15.75" customHeight="1">
      <c r="D108" s="19"/>
      <c r="E108" s="19"/>
      <c r="F108" s="19"/>
      <c r="H108" s="19"/>
      <c r="I108" s="5"/>
      <c r="J108" s="19"/>
      <c r="K108" s="19"/>
      <c r="L108" s="19"/>
      <c r="O108" s="20"/>
      <c r="P108" s="20"/>
      <c r="Q108" s="19"/>
      <c r="S108" s="19"/>
      <c r="T108" s="19"/>
      <c r="U108" s="19"/>
      <c r="V108" s="19"/>
      <c r="W108" s="19"/>
      <c r="X108" s="19"/>
    </row>
    <row r="109" ht="15.75" customHeight="1">
      <c r="D109" s="19"/>
      <c r="E109" s="19"/>
      <c r="F109" s="19"/>
      <c r="H109" s="19"/>
      <c r="I109" s="5"/>
      <c r="J109" s="19"/>
      <c r="K109" s="19"/>
      <c r="L109" s="19"/>
      <c r="O109" s="20"/>
      <c r="P109" s="20"/>
      <c r="Q109" s="19"/>
      <c r="S109" s="19"/>
      <c r="T109" s="19"/>
      <c r="U109" s="19"/>
      <c r="V109" s="19"/>
      <c r="W109" s="19"/>
      <c r="X109" s="19"/>
    </row>
    <row r="110" ht="15.75" customHeight="1">
      <c r="D110" s="19"/>
      <c r="E110" s="19"/>
      <c r="F110" s="19"/>
      <c r="H110" s="19"/>
      <c r="I110" s="5"/>
      <c r="J110" s="19"/>
      <c r="K110" s="19"/>
      <c r="L110" s="19"/>
      <c r="O110" s="20"/>
      <c r="P110" s="20"/>
      <c r="Q110" s="19"/>
      <c r="S110" s="19"/>
      <c r="T110" s="19"/>
      <c r="U110" s="19"/>
      <c r="V110" s="19"/>
      <c r="W110" s="19"/>
      <c r="X110" s="19"/>
    </row>
    <row r="111" ht="15.75" customHeight="1">
      <c r="D111" s="19"/>
      <c r="E111" s="19"/>
      <c r="F111" s="19"/>
      <c r="H111" s="19"/>
      <c r="I111" s="5"/>
      <c r="J111" s="19"/>
      <c r="K111" s="19"/>
      <c r="L111" s="19"/>
      <c r="O111" s="20"/>
      <c r="P111" s="20"/>
      <c r="Q111" s="19"/>
      <c r="S111" s="19"/>
      <c r="T111" s="19"/>
      <c r="U111" s="19"/>
      <c r="V111" s="19"/>
      <c r="W111" s="19"/>
      <c r="X111" s="19"/>
    </row>
    <row r="112" ht="15.75" customHeight="1">
      <c r="D112" s="19"/>
      <c r="E112" s="19"/>
      <c r="F112" s="19"/>
      <c r="H112" s="19"/>
      <c r="I112" s="5"/>
      <c r="J112" s="19"/>
      <c r="K112" s="19"/>
      <c r="L112" s="19"/>
      <c r="O112" s="20"/>
      <c r="P112" s="20"/>
      <c r="Q112" s="19"/>
      <c r="S112" s="19"/>
      <c r="T112" s="19"/>
      <c r="U112" s="19"/>
      <c r="V112" s="19"/>
      <c r="W112" s="19"/>
      <c r="X112" s="19"/>
    </row>
    <row r="113" ht="15.75" customHeight="1">
      <c r="D113" s="19"/>
      <c r="E113" s="19"/>
      <c r="F113" s="19"/>
      <c r="H113" s="19"/>
      <c r="I113" s="5"/>
      <c r="J113" s="19"/>
      <c r="K113" s="19"/>
      <c r="L113" s="19"/>
      <c r="O113" s="20"/>
      <c r="P113" s="20"/>
      <c r="Q113" s="19"/>
      <c r="S113" s="19"/>
      <c r="T113" s="19"/>
      <c r="U113" s="19"/>
      <c r="V113" s="19"/>
      <c r="W113" s="19"/>
      <c r="X113" s="19"/>
    </row>
    <row r="114" ht="15.75" customHeight="1">
      <c r="D114" s="19"/>
      <c r="E114" s="19"/>
      <c r="F114" s="19"/>
      <c r="H114" s="19"/>
      <c r="I114" s="5"/>
      <c r="J114" s="19"/>
      <c r="K114" s="19"/>
      <c r="L114" s="19"/>
      <c r="O114" s="20"/>
      <c r="P114" s="20"/>
      <c r="Q114" s="19"/>
      <c r="S114" s="19"/>
      <c r="T114" s="19"/>
      <c r="U114" s="19"/>
      <c r="V114" s="19"/>
      <c r="W114" s="19"/>
      <c r="X114" s="19"/>
    </row>
    <row r="115" ht="15.75" customHeight="1">
      <c r="D115" s="19"/>
      <c r="E115" s="19"/>
      <c r="F115" s="19"/>
      <c r="H115" s="19"/>
      <c r="I115" s="5"/>
      <c r="J115" s="19"/>
      <c r="K115" s="19"/>
      <c r="L115" s="19"/>
      <c r="O115" s="20"/>
      <c r="P115" s="20"/>
      <c r="Q115" s="19"/>
      <c r="S115" s="19"/>
      <c r="T115" s="19"/>
      <c r="U115" s="19"/>
      <c r="V115" s="19"/>
      <c r="W115" s="19"/>
      <c r="X115" s="19"/>
    </row>
    <row r="116" ht="15.75" customHeight="1">
      <c r="D116" s="19"/>
      <c r="E116" s="19"/>
      <c r="F116" s="19"/>
      <c r="H116" s="19"/>
      <c r="I116" s="5"/>
      <c r="J116" s="19"/>
      <c r="K116" s="19"/>
      <c r="L116" s="19"/>
      <c r="O116" s="20"/>
      <c r="P116" s="20"/>
      <c r="Q116" s="19"/>
      <c r="S116" s="19"/>
      <c r="T116" s="19"/>
      <c r="U116" s="19"/>
      <c r="V116" s="19"/>
      <c r="W116" s="19"/>
      <c r="X116" s="19"/>
    </row>
    <row r="117" ht="15.75" customHeight="1">
      <c r="D117" s="19"/>
      <c r="E117" s="19"/>
      <c r="F117" s="19"/>
      <c r="H117" s="19"/>
      <c r="I117" s="5"/>
      <c r="J117" s="19"/>
      <c r="K117" s="19"/>
      <c r="L117" s="19"/>
      <c r="O117" s="20"/>
      <c r="P117" s="20"/>
      <c r="Q117" s="19"/>
      <c r="S117" s="19"/>
      <c r="T117" s="19"/>
      <c r="U117" s="19"/>
      <c r="V117" s="19"/>
      <c r="W117" s="19"/>
      <c r="X117" s="19"/>
    </row>
    <row r="118" ht="15.75" customHeight="1">
      <c r="D118" s="19"/>
      <c r="E118" s="19"/>
      <c r="F118" s="19"/>
      <c r="H118" s="19"/>
      <c r="I118" s="5"/>
      <c r="J118" s="19"/>
      <c r="K118" s="19"/>
      <c r="L118" s="19"/>
      <c r="O118" s="20"/>
      <c r="P118" s="20"/>
      <c r="Q118" s="19"/>
      <c r="S118" s="19"/>
      <c r="T118" s="19"/>
      <c r="U118" s="19"/>
      <c r="V118" s="19"/>
      <c r="W118" s="19"/>
      <c r="X118" s="19"/>
    </row>
    <row r="119" ht="15.75" customHeight="1">
      <c r="D119" s="19"/>
      <c r="E119" s="19"/>
      <c r="F119" s="19"/>
      <c r="H119" s="19"/>
      <c r="I119" s="5"/>
      <c r="J119" s="19"/>
      <c r="K119" s="19"/>
      <c r="L119" s="19"/>
      <c r="O119" s="20"/>
      <c r="P119" s="20"/>
      <c r="Q119" s="19"/>
      <c r="S119" s="19"/>
      <c r="T119" s="19"/>
      <c r="U119" s="19"/>
      <c r="V119" s="19"/>
      <c r="W119" s="19"/>
      <c r="X119" s="19"/>
    </row>
    <row r="120" ht="15.75" customHeight="1">
      <c r="D120" s="19"/>
      <c r="E120" s="19"/>
      <c r="F120" s="19"/>
      <c r="H120" s="19"/>
      <c r="I120" s="5"/>
      <c r="J120" s="19"/>
      <c r="K120" s="19"/>
      <c r="L120" s="19"/>
      <c r="O120" s="20"/>
      <c r="P120" s="20"/>
      <c r="Q120" s="19"/>
      <c r="S120" s="19"/>
      <c r="T120" s="19"/>
      <c r="U120" s="19"/>
      <c r="V120" s="19"/>
      <c r="W120" s="19"/>
      <c r="X120" s="19"/>
    </row>
    <row r="121" ht="15.75" customHeight="1">
      <c r="D121" s="19"/>
      <c r="E121" s="19"/>
      <c r="F121" s="19"/>
      <c r="H121" s="19"/>
      <c r="I121" s="5"/>
      <c r="J121" s="19"/>
      <c r="K121" s="19"/>
      <c r="L121" s="19"/>
      <c r="O121" s="20"/>
      <c r="P121" s="20"/>
      <c r="Q121" s="19"/>
      <c r="S121" s="19"/>
      <c r="T121" s="19"/>
      <c r="U121" s="19"/>
      <c r="V121" s="19"/>
      <c r="W121" s="19"/>
      <c r="X121" s="19"/>
    </row>
    <row r="122" ht="15.75" customHeight="1">
      <c r="D122" s="19"/>
      <c r="E122" s="19"/>
      <c r="F122" s="19"/>
      <c r="H122" s="19"/>
      <c r="I122" s="5"/>
      <c r="J122" s="19"/>
      <c r="K122" s="19"/>
      <c r="L122" s="19"/>
      <c r="O122" s="20"/>
      <c r="P122" s="20"/>
      <c r="Q122" s="19"/>
      <c r="S122" s="19"/>
      <c r="T122" s="19"/>
      <c r="U122" s="19"/>
      <c r="V122" s="19"/>
      <c r="W122" s="19"/>
      <c r="X122" s="19"/>
    </row>
    <row r="123" ht="15.75" customHeight="1">
      <c r="D123" s="19"/>
      <c r="E123" s="19"/>
      <c r="F123" s="19"/>
      <c r="H123" s="19"/>
      <c r="I123" s="5"/>
      <c r="J123" s="19"/>
      <c r="K123" s="19"/>
      <c r="L123" s="19"/>
      <c r="O123" s="20"/>
      <c r="P123" s="20"/>
      <c r="Q123" s="19"/>
      <c r="S123" s="19"/>
      <c r="T123" s="19"/>
      <c r="U123" s="19"/>
      <c r="V123" s="19"/>
      <c r="W123" s="19"/>
      <c r="X123" s="19"/>
    </row>
    <row r="124" ht="15.75" customHeight="1">
      <c r="D124" s="19"/>
      <c r="E124" s="19"/>
      <c r="F124" s="19"/>
      <c r="H124" s="19"/>
      <c r="I124" s="5"/>
      <c r="J124" s="19"/>
      <c r="K124" s="19"/>
      <c r="L124" s="19"/>
      <c r="O124" s="20"/>
      <c r="P124" s="20"/>
      <c r="Q124" s="19"/>
      <c r="S124" s="19"/>
      <c r="T124" s="19"/>
      <c r="U124" s="19"/>
      <c r="V124" s="19"/>
      <c r="W124" s="19"/>
      <c r="X124" s="19"/>
    </row>
    <row r="125" ht="15.75" customHeight="1">
      <c r="D125" s="19"/>
      <c r="E125" s="19"/>
      <c r="F125" s="19"/>
      <c r="H125" s="19"/>
      <c r="I125" s="5"/>
      <c r="J125" s="19"/>
      <c r="K125" s="19"/>
      <c r="L125" s="19"/>
      <c r="O125" s="20"/>
      <c r="P125" s="20"/>
      <c r="Q125" s="19"/>
      <c r="S125" s="19"/>
      <c r="T125" s="19"/>
      <c r="U125" s="19"/>
      <c r="V125" s="19"/>
      <c r="W125" s="19"/>
      <c r="X125" s="19"/>
    </row>
    <row r="126" ht="15.75" customHeight="1">
      <c r="D126" s="19"/>
      <c r="E126" s="19"/>
      <c r="F126" s="19"/>
      <c r="H126" s="19"/>
      <c r="I126" s="5"/>
      <c r="J126" s="19"/>
      <c r="K126" s="19"/>
      <c r="L126" s="19"/>
      <c r="O126" s="20"/>
      <c r="P126" s="20"/>
      <c r="Q126" s="19"/>
      <c r="S126" s="19"/>
      <c r="T126" s="19"/>
      <c r="U126" s="19"/>
      <c r="V126" s="19"/>
      <c r="W126" s="19"/>
      <c r="X126" s="19"/>
    </row>
    <row r="127" ht="15.75" customHeight="1">
      <c r="D127" s="19"/>
      <c r="E127" s="19"/>
      <c r="F127" s="19"/>
      <c r="H127" s="19"/>
      <c r="I127" s="5"/>
      <c r="J127" s="19"/>
      <c r="K127" s="19"/>
      <c r="L127" s="19"/>
      <c r="O127" s="20"/>
      <c r="P127" s="20"/>
      <c r="Q127" s="19"/>
      <c r="S127" s="19"/>
      <c r="T127" s="19"/>
      <c r="U127" s="19"/>
      <c r="V127" s="19"/>
      <c r="W127" s="19"/>
      <c r="X127" s="19"/>
    </row>
    <row r="128" ht="15.75" customHeight="1">
      <c r="D128" s="19"/>
      <c r="E128" s="19"/>
      <c r="F128" s="19"/>
      <c r="H128" s="19"/>
      <c r="I128" s="5"/>
      <c r="J128" s="19"/>
      <c r="K128" s="19"/>
      <c r="L128" s="19"/>
      <c r="O128" s="20"/>
      <c r="P128" s="20"/>
      <c r="Q128" s="19"/>
      <c r="S128" s="19"/>
      <c r="T128" s="19"/>
      <c r="U128" s="19"/>
      <c r="V128" s="19"/>
      <c r="W128" s="19"/>
      <c r="X128" s="19"/>
    </row>
    <row r="129" ht="15.75" customHeight="1">
      <c r="D129" s="19"/>
      <c r="E129" s="19"/>
      <c r="F129" s="19"/>
      <c r="H129" s="19"/>
      <c r="I129" s="5"/>
      <c r="J129" s="19"/>
      <c r="K129" s="19"/>
      <c r="L129" s="19"/>
      <c r="O129" s="20"/>
      <c r="P129" s="20"/>
      <c r="Q129" s="19"/>
      <c r="S129" s="19"/>
      <c r="T129" s="19"/>
      <c r="U129" s="19"/>
      <c r="V129" s="19"/>
      <c r="W129" s="19"/>
      <c r="X129" s="19"/>
    </row>
    <row r="130" ht="15.75" customHeight="1">
      <c r="D130" s="19"/>
      <c r="E130" s="19"/>
      <c r="F130" s="19"/>
      <c r="H130" s="19"/>
      <c r="I130" s="5"/>
      <c r="J130" s="19"/>
      <c r="K130" s="19"/>
      <c r="L130" s="19"/>
      <c r="O130" s="20"/>
      <c r="P130" s="20"/>
      <c r="Q130" s="19"/>
      <c r="S130" s="19"/>
      <c r="T130" s="19"/>
      <c r="U130" s="19"/>
      <c r="V130" s="19"/>
      <c r="W130" s="19"/>
      <c r="X130" s="19"/>
    </row>
    <row r="131" ht="15.75" customHeight="1">
      <c r="D131" s="19"/>
      <c r="E131" s="19"/>
      <c r="F131" s="19"/>
      <c r="H131" s="19"/>
      <c r="I131" s="5"/>
      <c r="J131" s="19"/>
      <c r="K131" s="19"/>
      <c r="L131" s="19"/>
      <c r="O131" s="20"/>
      <c r="P131" s="20"/>
      <c r="Q131" s="19"/>
      <c r="S131" s="19"/>
      <c r="T131" s="19"/>
      <c r="U131" s="19"/>
      <c r="V131" s="19"/>
      <c r="W131" s="19"/>
      <c r="X131" s="19"/>
    </row>
    <row r="132" ht="15.75" customHeight="1">
      <c r="D132" s="19"/>
      <c r="E132" s="19"/>
      <c r="F132" s="19"/>
      <c r="H132" s="19"/>
      <c r="I132" s="5"/>
      <c r="J132" s="19"/>
      <c r="K132" s="19"/>
      <c r="L132" s="19"/>
      <c r="O132" s="20"/>
      <c r="P132" s="20"/>
      <c r="Q132" s="19"/>
      <c r="S132" s="19"/>
      <c r="T132" s="19"/>
      <c r="U132" s="19"/>
      <c r="V132" s="19"/>
      <c r="W132" s="19"/>
      <c r="X132" s="19"/>
    </row>
    <row r="133" ht="15.75" customHeight="1">
      <c r="D133" s="19"/>
      <c r="E133" s="19"/>
      <c r="F133" s="19"/>
      <c r="H133" s="19"/>
      <c r="I133" s="5"/>
      <c r="J133" s="19"/>
      <c r="K133" s="19"/>
      <c r="L133" s="19"/>
      <c r="O133" s="20"/>
      <c r="P133" s="20"/>
      <c r="Q133" s="19"/>
      <c r="S133" s="19"/>
      <c r="T133" s="19"/>
      <c r="U133" s="19"/>
      <c r="V133" s="19"/>
      <c r="W133" s="19"/>
      <c r="X133" s="19"/>
    </row>
    <row r="134" ht="15.75" customHeight="1">
      <c r="D134" s="19"/>
      <c r="E134" s="19"/>
      <c r="F134" s="19"/>
      <c r="H134" s="19"/>
      <c r="I134" s="5"/>
      <c r="J134" s="19"/>
      <c r="K134" s="19"/>
      <c r="L134" s="19"/>
      <c r="O134" s="20"/>
      <c r="P134" s="20"/>
      <c r="Q134" s="19"/>
      <c r="S134" s="19"/>
      <c r="T134" s="19"/>
      <c r="U134" s="19"/>
      <c r="V134" s="19"/>
      <c r="W134" s="19"/>
      <c r="X134" s="19"/>
    </row>
    <row r="135" ht="15.75" customHeight="1">
      <c r="D135" s="19"/>
      <c r="E135" s="19"/>
      <c r="F135" s="19"/>
      <c r="H135" s="19"/>
      <c r="I135" s="5"/>
      <c r="J135" s="19"/>
      <c r="K135" s="19"/>
      <c r="L135" s="19"/>
      <c r="O135" s="20"/>
      <c r="P135" s="20"/>
      <c r="Q135" s="19"/>
      <c r="S135" s="19"/>
      <c r="T135" s="19"/>
      <c r="U135" s="19"/>
      <c r="V135" s="19"/>
      <c r="W135" s="19"/>
      <c r="X135" s="19"/>
    </row>
    <row r="136" ht="15.75" customHeight="1">
      <c r="D136" s="19"/>
      <c r="E136" s="19"/>
      <c r="F136" s="19"/>
      <c r="H136" s="19"/>
      <c r="I136" s="5"/>
      <c r="J136" s="19"/>
      <c r="K136" s="19"/>
      <c r="L136" s="19"/>
      <c r="O136" s="20"/>
      <c r="P136" s="20"/>
      <c r="Q136" s="19"/>
      <c r="S136" s="19"/>
      <c r="T136" s="19"/>
      <c r="U136" s="19"/>
      <c r="V136" s="19"/>
      <c r="W136" s="19"/>
      <c r="X136" s="19"/>
    </row>
    <row r="137" ht="15.75" customHeight="1">
      <c r="D137" s="19"/>
      <c r="E137" s="19"/>
      <c r="F137" s="19"/>
      <c r="H137" s="19"/>
      <c r="I137" s="5"/>
      <c r="J137" s="19"/>
      <c r="K137" s="19"/>
      <c r="L137" s="19"/>
      <c r="O137" s="20"/>
      <c r="P137" s="20"/>
      <c r="Q137" s="19"/>
      <c r="S137" s="19"/>
      <c r="T137" s="19"/>
      <c r="U137" s="19"/>
      <c r="V137" s="19"/>
      <c r="W137" s="19"/>
      <c r="X137" s="19"/>
    </row>
    <row r="138" ht="15.75" customHeight="1">
      <c r="D138" s="19"/>
      <c r="E138" s="19"/>
      <c r="F138" s="19"/>
      <c r="H138" s="19"/>
      <c r="I138" s="5"/>
      <c r="J138" s="19"/>
      <c r="K138" s="19"/>
      <c r="L138" s="19"/>
      <c r="O138" s="20"/>
      <c r="P138" s="20"/>
      <c r="Q138" s="19"/>
      <c r="S138" s="19"/>
      <c r="T138" s="19"/>
      <c r="U138" s="19"/>
      <c r="V138" s="19"/>
      <c r="W138" s="19"/>
      <c r="X138" s="19"/>
    </row>
    <row r="139" ht="15.75" customHeight="1">
      <c r="D139" s="19"/>
      <c r="E139" s="19"/>
      <c r="F139" s="19"/>
      <c r="H139" s="19"/>
      <c r="I139" s="5"/>
      <c r="J139" s="19"/>
      <c r="K139" s="19"/>
      <c r="L139" s="19"/>
      <c r="O139" s="20"/>
      <c r="P139" s="20"/>
      <c r="Q139" s="19"/>
      <c r="S139" s="19"/>
      <c r="T139" s="19"/>
      <c r="U139" s="19"/>
      <c r="V139" s="19"/>
      <c r="W139" s="19"/>
      <c r="X139" s="19"/>
    </row>
    <row r="140" ht="15.75" customHeight="1">
      <c r="D140" s="19"/>
      <c r="E140" s="19"/>
      <c r="F140" s="19"/>
      <c r="H140" s="19"/>
      <c r="I140" s="5"/>
      <c r="J140" s="19"/>
      <c r="K140" s="19"/>
      <c r="L140" s="19"/>
      <c r="O140" s="20"/>
      <c r="P140" s="20"/>
      <c r="Q140" s="19"/>
      <c r="S140" s="19"/>
      <c r="T140" s="19"/>
      <c r="U140" s="19"/>
      <c r="V140" s="19"/>
      <c r="W140" s="19"/>
      <c r="X140" s="19"/>
    </row>
    <row r="141" ht="15.75" customHeight="1">
      <c r="D141" s="19"/>
      <c r="E141" s="19"/>
      <c r="F141" s="19"/>
      <c r="H141" s="19"/>
      <c r="I141" s="5"/>
      <c r="J141" s="19"/>
      <c r="K141" s="19"/>
      <c r="L141" s="19"/>
      <c r="O141" s="20"/>
      <c r="P141" s="20"/>
      <c r="Q141" s="19"/>
      <c r="S141" s="19"/>
      <c r="T141" s="19"/>
      <c r="U141" s="19"/>
      <c r="V141" s="19"/>
      <c r="W141" s="19"/>
      <c r="X141" s="19"/>
    </row>
    <row r="142" ht="15.75" customHeight="1">
      <c r="D142" s="19"/>
      <c r="E142" s="19"/>
      <c r="F142" s="19"/>
      <c r="H142" s="19"/>
      <c r="I142" s="5"/>
      <c r="J142" s="19"/>
      <c r="K142" s="19"/>
      <c r="L142" s="19"/>
      <c r="O142" s="20"/>
      <c r="P142" s="20"/>
      <c r="Q142" s="19"/>
      <c r="S142" s="19"/>
      <c r="T142" s="19"/>
      <c r="U142" s="19"/>
      <c r="V142" s="19"/>
      <c r="W142" s="19"/>
      <c r="X142" s="19"/>
    </row>
    <row r="143" ht="15.75" customHeight="1">
      <c r="D143" s="19"/>
      <c r="E143" s="19"/>
      <c r="F143" s="19"/>
      <c r="H143" s="19"/>
      <c r="I143" s="5"/>
      <c r="J143" s="19"/>
      <c r="K143" s="19"/>
      <c r="L143" s="19"/>
      <c r="O143" s="20"/>
      <c r="P143" s="20"/>
      <c r="Q143" s="19"/>
      <c r="S143" s="19"/>
      <c r="T143" s="19"/>
      <c r="U143" s="19"/>
      <c r="V143" s="19"/>
      <c r="W143" s="19"/>
      <c r="X143" s="19"/>
    </row>
    <row r="144" ht="15.75" customHeight="1">
      <c r="D144" s="19"/>
      <c r="E144" s="19"/>
      <c r="F144" s="19"/>
      <c r="H144" s="19"/>
      <c r="I144" s="5"/>
      <c r="J144" s="19"/>
      <c r="K144" s="19"/>
      <c r="L144" s="19"/>
      <c r="O144" s="20"/>
      <c r="P144" s="20"/>
      <c r="Q144" s="19"/>
      <c r="S144" s="19"/>
      <c r="T144" s="19"/>
      <c r="U144" s="19"/>
      <c r="V144" s="19"/>
      <c r="W144" s="19"/>
      <c r="X144" s="19"/>
    </row>
    <row r="145" ht="15.75" customHeight="1">
      <c r="D145" s="19"/>
      <c r="E145" s="19"/>
      <c r="F145" s="19"/>
      <c r="H145" s="19"/>
      <c r="I145" s="5"/>
      <c r="J145" s="19"/>
      <c r="K145" s="19"/>
      <c r="L145" s="19"/>
      <c r="O145" s="20"/>
      <c r="P145" s="20"/>
      <c r="Q145" s="19"/>
      <c r="S145" s="19"/>
      <c r="T145" s="19"/>
      <c r="U145" s="19"/>
      <c r="V145" s="19"/>
      <c r="W145" s="19"/>
      <c r="X145" s="19"/>
    </row>
    <row r="146" ht="15.75" customHeight="1">
      <c r="D146" s="19"/>
      <c r="E146" s="19"/>
      <c r="F146" s="19"/>
      <c r="H146" s="19"/>
      <c r="I146" s="5"/>
      <c r="J146" s="19"/>
      <c r="K146" s="19"/>
      <c r="L146" s="19"/>
      <c r="O146" s="20"/>
      <c r="P146" s="20"/>
      <c r="Q146" s="19"/>
      <c r="S146" s="19"/>
      <c r="T146" s="19"/>
      <c r="U146" s="19"/>
      <c r="V146" s="19"/>
      <c r="W146" s="19"/>
      <c r="X146" s="19"/>
    </row>
    <row r="147" ht="15.75" customHeight="1">
      <c r="D147" s="19"/>
      <c r="E147" s="19"/>
      <c r="F147" s="19"/>
      <c r="H147" s="19"/>
      <c r="I147" s="5"/>
      <c r="J147" s="19"/>
      <c r="K147" s="19"/>
      <c r="L147" s="19"/>
      <c r="O147" s="20"/>
      <c r="P147" s="20"/>
      <c r="Q147" s="19"/>
      <c r="S147" s="19"/>
      <c r="T147" s="19"/>
      <c r="U147" s="19"/>
      <c r="V147" s="19"/>
      <c r="W147" s="19"/>
      <c r="X147" s="19"/>
    </row>
    <row r="148" ht="15.75" customHeight="1">
      <c r="D148" s="19"/>
      <c r="E148" s="19"/>
      <c r="F148" s="19"/>
      <c r="H148" s="19"/>
      <c r="I148" s="5"/>
      <c r="J148" s="19"/>
      <c r="K148" s="19"/>
      <c r="L148" s="19"/>
      <c r="O148" s="20"/>
      <c r="P148" s="20"/>
      <c r="Q148" s="19"/>
      <c r="S148" s="19"/>
      <c r="T148" s="19"/>
      <c r="U148" s="19"/>
      <c r="V148" s="19"/>
      <c r="W148" s="19"/>
      <c r="X148" s="19"/>
    </row>
    <row r="149" ht="15.75" customHeight="1">
      <c r="D149" s="19"/>
      <c r="E149" s="19"/>
      <c r="F149" s="19"/>
      <c r="H149" s="19"/>
      <c r="I149" s="5"/>
      <c r="J149" s="19"/>
      <c r="K149" s="19"/>
      <c r="L149" s="19"/>
      <c r="O149" s="20"/>
      <c r="P149" s="20"/>
      <c r="Q149" s="19"/>
      <c r="S149" s="19"/>
      <c r="T149" s="19"/>
      <c r="U149" s="19"/>
      <c r="V149" s="19"/>
      <c r="W149" s="19"/>
      <c r="X149" s="19"/>
    </row>
    <row r="150" ht="15.75" customHeight="1">
      <c r="D150" s="19"/>
      <c r="E150" s="19"/>
      <c r="F150" s="19"/>
      <c r="H150" s="19"/>
      <c r="I150" s="5"/>
      <c r="J150" s="19"/>
      <c r="K150" s="19"/>
      <c r="L150" s="19"/>
      <c r="O150" s="20"/>
      <c r="P150" s="20"/>
      <c r="Q150" s="19"/>
      <c r="S150" s="19"/>
      <c r="T150" s="19"/>
      <c r="U150" s="19"/>
      <c r="V150" s="19"/>
      <c r="W150" s="19"/>
      <c r="X150" s="19"/>
    </row>
    <row r="151" ht="15.75" customHeight="1">
      <c r="D151" s="19"/>
      <c r="E151" s="19"/>
      <c r="F151" s="19"/>
      <c r="H151" s="19"/>
      <c r="I151" s="5"/>
      <c r="J151" s="19"/>
      <c r="K151" s="19"/>
      <c r="L151" s="19"/>
      <c r="O151" s="20"/>
      <c r="P151" s="20"/>
      <c r="Q151" s="19"/>
      <c r="S151" s="19"/>
      <c r="T151" s="19"/>
      <c r="U151" s="19"/>
      <c r="V151" s="19"/>
      <c r="W151" s="19"/>
      <c r="X151" s="19"/>
    </row>
    <row r="152" ht="15.75" customHeight="1">
      <c r="D152" s="19"/>
      <c r="E152" s="19"/>
      <c r="F152" s="19"/>
      <c r="H152" s="19"/>
      <c r="I152" s="5"/>
      <c r="J152" s="19"/>
      <c r="K152" s="19"/>
      <c r="L152" s="19"/>
      <c r="O152" s="20"/>
      <c r="P152" s="20"/>
      <c r="Q152" s="19"/>
      <c r="S152" s="19"/>
      <c r="T152" s="19"/>
      <c r="U152" s="19"/>
      <c r="V152" s="19"/>
      <c r="W152" s="19"/>
      <c r="X152" s="19"/>
    </row>
    <row r="153" ht="15.75" customHeight="1">
      <c r="D153" s="19"/>
      <c r="E153" s="19"/>
      <c r="F153" s="19"/>
      <c r="H153" s="19"/>
      <c r="I153" s="5"/>
      <c r="J153" s="19"/>
      <c r="K153" s="19"/>
      <c r="L153" s="19"/>
      <c r="O153" s="20"/>
      <c r="P153" s="20"/>
      <c r="Q153" s="19"/>
      <c r="S153" s="19"/>
      <c r="T153" s="19"/>
      <c r="U153" s="19"/>
      <c r="V153" s="19"/>
      <c r="W153" s="19"/>
      <c r="X153" s="19"/>
    </row>
    <row r="154" ht="15.75" customHeight="1">
      <c r="D154" s="19"/>
      <c r="E154" s="19"/>
      <c r="F154" s="19"/>
      <c r="H154" s="19"/>
      <c r="I154" s="5"/>
      <c r="J154" s="19"/>
      <c r="K154" s="19"/>
      <c r="L154" s="19"/>
      <c r="O154" s="20"/>
      <c r="P154" s="20"/>
      <c r="Q154" s="19"/>
      <c r="S154" s="19"/>
      <c r="T154" s="19"/>
      <c r="U154" s="19"/>
      <c r="V154" s="19"/>
      <c r="W154" s="19"/>
      <c r="X154" s="19"/>
    </row>
    <row r="155" ht="15.75" customHeight="1">
      <c r="D155" s="19"/>
      <c r="E155" s="19"/>
      <c r="F155" s="19"/>
      <c r="H155" s="19"/>
      <c r="I155" s="5"/>
      <c r="J155" s="19"/>
      <c r="K155" s="19"/>
      <c r="L155" s="19"/>
      <c r="O155" s="20"/>
      <c r="P155" s="20"/>
      <c r="Q155" s="19"/>
      <c r="S155" s="19"/>
      <c r="T155" s="19"/>
      <c r="U155" s="19"/>
      <c r="V155" s="19"/>
      <c r="W155" s="19"/>
      <c r="X155" s="19"/>
    </row>
    <row r="156" ht="15.75" customHeight="1">
      <c r="D156" s="19"/>
      <c r="E156" s="19"/>
      <c r="F156" s="19"/>
      <c r="H156" s="19"/>
      <c r="I156" s="5"/>
      <c r="J156" s="19"/>
      <c r="K156" s="19"/>
      <c r="L156" s="19"/>
      <c r="O156" s="20"/>
      <c r="P156" s="20"/>
      <c r="Q156" s="19"/>
      <c r="S156" s="19"/>
      <c r="T156" s="19"/>
      <c r="U156" s="19"/>
      <c r="V156" s="19"/>
      <c r="W156" s="19"/>
      <c r="X156" s="19"/>
    </row>
    <row r="157" ht="15.75" customHeight="1">
      <c r="D157" s="19"/>
      <c r="E157" s="19"/>
      <c r="F157" s="19"/>
      <c r="H157" s="19"/>
      <c r="I157" s="5"/>
      <c r="J157" s="19"/>
      <c r="K157" s="19"/>
      <c r="L157" s="19"/>
      <c r="O157" s="20"/>
      <c r="P157" s="20"/>
      <c r="Q157" s="19"/>
      <c r="S157" s="19"/>
      <c r="T157" s="19"/>
      <c r="U157" s="19"/>
      <c r="V157" s="19"/>
      <c r="W157" s="19"/>
      <c r="X157" s="19"/>
    </row>
    <row r="158" ht="15.75" customHeight="1">
      <c r="D158" s="19"/>
      <c r="E158" s="19"/>
      <c r="F158" s="19"/>
      <c r="H158" s="19"/>
      <c r="I158" s="5"/>
      <c r="J158" s="19"/>
      <c r="K158" s="19"/>
      <c r="L158" s="19"/>
      <c r="O158" s="20"/>
      <c r="P158" s="20"/>
      <c r="Q158" s="19"/>
      <c r="S158" s="19"/>
      <c r="T158" s="19"/>
      <c r="U158" s="19"/>
      <c r="V158" s="19"/>
      <c r="W158" s="19"/>
      <c r="X158" s="19"/>
    </row>
    <row r="159" ht="15.75" customHeight="1">
      <c r="D159" s="19"/>
      <c r="E159" s="19"/>
      <c r="F159" s="19"/>
      <c r="H159" s="19"/>
      <c r="I159" s="5"/>
      <c r="J159" s="19"/>
      <c r="K159" s="19"/>
      <c r="L159" s="19"/>
      <c r="O159" s="20"/>
      <c r="P159" s="20"/>
      <c r="Q159" s="19"/>
      <c r="S159" s="19"/>
      <c r="T159" s="19"/>
      <c r="U159" s="19"/>
      <c r="V159" s="19"/>
      <c r="W159" s="19"/>
      <c r="X159" s="19"/>
    </row>
    <row r="160" ht="15.75" customHeight="1">
      <c r="D160" s="19"/>
      <c r="E160" s="19"/>
      <c r="F160" s="19"/>
      <c r="H160" s="19"/>
      <c r="I160" s="5"/>
      <c r="J160" s="19"/>
      <c r="K160" s="19"/>
      <c r="L160" s="19"/>
      <c r="O160" s="20"/>
      <c r="P160" s="20"/>
      <c r="Q160" s="19"/>
      <c r="S160" s="19"/>
      <c r="T160" s="19"/>
      <c r="U160" s="19"/>
      <c r="V160" s="19"/>
      <c r="W160" s="19"/>
      <c r="X160" s="19"/>
    </row>
    <row r="161" ht="15.75" customHeight="1">
      <c r="D161" s="19"/>
      <c r="E161" s="19"/>
      <c r="F161" s="19"/>
      <c r="H161" s="19"/>
      <c r="I161" s="5"/>
      <c r="J161" s="19"/>
      <c r="K161" s="19"/>
      <c r="L161" s="19"/>
      <c r="O161" s="20"/>
      <c r="P161" s="20"/>
      <c r="Q161" s="19"/>
      <c r="S161" s="19"/>
      <c r="T161" s="19"/>
      <c r="U161" s="19"/>
      <c r="V161" s="19"/>
      <c r="W161" s="19"/>
      <c r="X161" s="19"/>
    </row>
    <row r="162" ht="15.75" customHeight="1">
      <c r="D162" s="19"/>
      <c r="E162" s="19"/>
      <c r="F162" s="19"/>
      <c r="H162" s="19"/>
      <c r="I162" s="5"/>
      <c r="J162" s="19"/>
      <c r="K162" s="19"/>
      <c r="L162" s="19"/>
      <c r="O162" s="20"/>
      <c r="P162" s="20"/>
      <c r="Q162" s="19"/>
      <c r="S162" s="19"/>
      <c r="T162" s="19"/>
      <c r="U162" s="19"/>
      <c r="V162" s="19"/>
      <c r="W162" s="19"/>
      <c r="X162" s="19"/>
    </row>
    <row r="163" ht="15.75" customHeight="1">
      <c r="D163" s="19"/>
      <c r="E163" s="19"/>
      <c r="F163" s="19"/>
      <c r="H163" s="19"/>
      <c r="I163" s="5"/>
      <c r="J163" s="19"/>
      <c r="K163" s="19"/>
      <c r="L163" s="19"/>
      <c r="O163" s="20"/>
      <c r="P163" s="20"/>
      <c r="Q163" s="19"/>
      <c r="S163" s="19"/>
      <c r="T163" s="19"/>
      <c r="U163" s="19"/>
      <c r="V163" s="19"/>
      <c r="W163" s="19"/>
      <c r="X163" s="19"/>
    </row>
    <row r="164" ht="15.75" customHeight="1">
      <c r="D164" s="19"/>
      <c r="E164" s="19"/>
      <c r="F164" s="19"/>
      <c r="H164" s="19"/>
      <c r="I164" s="5"/>
      <c r="J164" s="19"/>
      <c r="K164" s="19"/>
      <c r="L164" s="19"/>
      <c r="O164" s="20"/>
      <c r="P164" s="20"/>
      <c r="Q164" s="19"/>
      <c r="S164" s="19"/>
      <c r="T164" s="19"/>
      <c r="U164" s="19"/>
      <c r="V164" s="19"/>
      <c r="W164" s="19"/>
      <c r="X164" s="19"/>
    </row>
    <row r="165" ht="15.75" customHeight="1">
      <c r="D165" s="19"/>
      <c r="E165" s="19"/>
      <c r="F165" s="19"/>
      <c r="H165" s="19"/>
      <c r="I165" s="5"/>
      <c r="J165" s="19"/>
      <c r="K165" s="19"/>
      <c r="L165" s="19"/>
      <c r="O165" s="20"/>
      <c r="P165" s="20"/>
      <c r="Q165" s="19"/>
      <c r="S165" s="19"/>
      <c r="T165" s="19"/>
      <c r="U165" s="19"/>
      <c r="V165" s="19"/>
      <c r="W165" s="19"/>
      <c r="X165" s="19"/>
    </row>
    <row r="166" ht="15.75" customHeight="1">
      <c r="D166" s="19"/>
      <c r="E166" s="19"/>
      <c r="F166" s="19"/>
      <c r="H166" s="19"/>
      <c r="I166" s="5"/>
      <c r="J166" s="19"/>
      <c r="K166" s="19"/>
      <c r="L166" s="19"/>
      <c r="O166" s="20"/>
      <c r="P166" s="20"/>
      <c r="Q166" s="19"/>
      <c r="S166" s="19"/>
      <c r="T166" s="19"/>
      <c r="U166" s="19"/>
      <c r="V166" s="19"/>
      <c r="W166" s="19"/>
      <c r="X166" s="19"/>
    </row>
    <row r="167" ht="15.75" customHeight="1">
      <c r="D167" s="19"/>
      <c r="E167" s="19"/>
      <c r="F167" s="19"/>
      <c r="H167" s="19"/>
      <c r="I167" s="5"/>
      <c r="J167" s="19"/>
      <c r="K167" s="19"/>
      <c r="L167" s="19"/>
      <c r="O167" s="20"/>
      <c r="P167" s="20"/>
      <c r="Q167" s="19"/>
      <c r="S167" s="19"/>
      <c r="T167" s="19"/>
      <c r="U167" s="19"/>
      <c r="V167" s="19"/>
      <c r="W167" s="19"/>
      <c r="X167" s="19"/>
    </row>
    <row r="168" ht="15.75" customHeight="1">
      <c r="D168" s="19"/>
      <c r="E168" s="19"/>
      <c r="F168" s="19"/>
      <c r="H168" s="19"/>
      <c r="I168" s="5"/>
      <c r="J168" s="19"/>
      <c r="K168" s="19"/>
      <c r="L168" s="19"/>
      <c r="O168" s="20"/>
      <c r="P168" s="20"/>
      <c r="Q168" s="19"/>
      <c r="S168" s="19"/>
      <c r="T168" s="19"/>
      <c r="U168" s="19"/>
      <c r="V168" s="19"/>
      <c r="W168" s="19"/>
      <c r="X168" s="19"/>
    </row>
    <row r="169" ht="15.75" customHeight="1">
      <c r="D169" s="19"/>
      <c r="E169" s="19"/>
      <c r="F169" s="19"/>
      <c r="H169" s="19"/>
      <c r="I169" s="5"/>
      <c r="J169" s="19"/>
      <c r="K169" s="19"/>
      <c r="L169" s="19"/>
      <c r="O169" s="20"/>
      <c r="P169" s="20"/>
      <c r="Q169" s="19"/>
      <c r="S169" s="19"/>
      <c r="T169" s="19"/>
      <c r="U169" s="19"/>
      <c r="V169" s="19"/>
      <c r="W169" s="19"/>
      <c r="X169" s="19"/>
    </row>
    <row r="170" ht="15.75" customHeight="1">
      <c r="D170" s="19"/>
      <c r="E170" s="19"/>
      <c r="F170" s="19"/>
      <c r="H170" s="19"/>
      <c r="I170" s="5"/>
      <c r="J170" s="19"/>
      <c r="K170" s="19"/>
      <c r="L170" s="19"/>
      <c r="O170" s="20"/>
      <c r="P170" s="20"/>
      <c r="Q170" s="19"/>
      <c r="S170" s="19"/>
      <c r="T170" s="19"/>
      <c r="U170" s="19"/>
      <c r="V170" s="19"/>
      <c r="W170" s="19"/>
      <c r="X170" s="19"/>
    </row>
    <row r="171" ht="15.75" customHeight="1">
      <c r="D171" s="19"/>
      <c r="E171" s="19"/>
      <c r="F171" s="19"/>
      <c r="H171" s="19"/>
      <c r="I171" s="5"/>
      <c r="J171" s="19"/>
      <c r="K171" s="19"/>
      <c r="L171" s="19"/>
      <c r="O171" s="20"/>
      <c r="P171" s="20"/>
      <c r="Q171" s="19"/>
      <c r="S171" s="19"/>
      <c r="T171" s="19"/>
      <c r="U171" s="19"/>
      <c r="V171" s="19"/>
      <c r="W171" s="19"/>
      <c r="X171" s="19"/>
    </row>
    <row r="172" ht="15.75" customHeight="1">
      <c r="D172" s="19"/>
      <c r="E172" s="19"/>
      <c r="F172" s="19"/>
      <c r="H172" s="19"/>
      <c r="I172" s="5"/>
      <c r="J172" s="19"/>
      <c r="K172" s="19"/>
      <c r="L172" s="19"/>
      <c r="O172" s="20"/>
      <c r="P172" s="20"/>
      <c r="Q172" s="19"/>
      <c r="S172" s="19"/>
      <c r="T172" s="19"/>
      <c r="U172" s="19"/>
      <c r="V172" s="19"/>
      <c r="W172" s="19"/>
      <c r="X172" s="19"/>
    </row>
    <row r="173" ht="15.75" customHeight="1">
      <c r="D173" s="19"/>
      <c r="E173" s="19"/>
      <c r="F173" s="19"/>
      <c r="H173" s="19"/>
      <c r="I173" s="5"/>
      <c r="J173" s="19"/>
      <c r="K173" s="19"/>
      <c r="L173" s="19"/>
      <c r="O173" s="20"/>
      <c r="P173" s="20"/>
      <c r="Q173" s="19"/>
      <c r="S173" s="19"/>
      <c r="T173" s="19"/>
      <c r="U173" s="19"/>
      <c r="V173" s="19"/>
      <c r="W173" s="19"/>
      <c r="X173" s="19"/>
    </row>
    <row r="174" ht="15.75" customHeight="1">
      <c r="D174" s="19"/>
      <c r="E174" s="19"/>
      <c r="F174" s="19"/>
      <c r="H174" s="19"/>
      <c r="I174" s="5"/>
      <c r="J174" s="19"/>
      <c r="K174" s="19"/>
      <c r="L174" s="19"/>
      <c r="O174" s="20"/>
      <c r="P174" s="20"/>
      <c r="Q174" s="19"/>
      <c r="S174" s="19"/>
      <c r="T174" s="19"/>
      <c r="U174" s="19"/>
      <c r="V174" s="19"/>
      <c r="W174" s="19"/>
      <c r="X174" s="19"/>
    </row>
    <row r="175" ht="15.75" customHeight="1">
      <c r="D175" s="19"/>
      <c r="E175" s="19"/>
      <c r="F175" s="19"/>
      <c r="H175" s="19"/>
      <c r="I175" s="5"/>
      <c r="J175" s="19"/>
      <c r="K175" s="19"/>
      <c r="L175" s="19"/>
      <c r="O175" s="20"/>
      <c r="P175" s="20"/>
      <c r="Q175" s="19"/>
      <c r="S175" s="19"/>
      <c r="T175" s="19"/>
      <c r="U175" s="19"/>
      <c r="V175" s="19"/>
      <c r="W175" s="19"/>
      <c r="X175" s="19"/>
    </row>
    <row r="176" ht="15.75" customHeight="1">
      <c r="D176" s="19"/>
      <c r="E176" s="19"/>
      <c r="F176" s="19"/>
      <c r="H176" s="19"/>
      <c r="I176" s="5"/>
      <c r="J176" s="19"/>
      <c r="K176" s="19"/>
      <c r="L176" s="19"/>
      <c r="O176" s="20"/>
      <c r="P176" s="20"/>
      <c r="Q176" s="19"/>
      <c r="S176" s="19"/>
      <c r="T176" s="19"/>
      <c r="U176" s="19"/>
      <c r="V176" s="19"/>
      <c r="W176" s="19"/>
      <c r="X176" s="19"/>
    </row>
    <row r="177" ht="15.75" customHeight="1">
      <c r="D177" s="19"/>
      <c r="E177" s="19"/>
      <c r="F177" s="19"/>
      <c r="H177" s="19"/>
      <c r="I177" s="5"/>
      <c r="J177" s="19"/>
      <c r="K177" s="19"/>
      <c r="L177" s="19"/>
      <c r="O177" s="20"/>
      <c r="P177" s="20"/>
      <c r="Q177" s="19"/>
      <c r="S177" s="19"/>
      <c r="T177" s="19"/>
      <c r="U177" s="19"/>
      <c r="V177" s="19"/>
      <c r="W177" s="19"/>
      <c r="X177" s="19"/>
    </row>
    <row r="178" ht="15.75" customHeight="1">
      <c r="D178" s="19"/>
      <c r="E178" s="19"/>
      <c r="F178" s="19"/>
      <c r="H178" s="19"/>
      <c r="I178" s="5"/>
      <c r="J178" s="19"/>
      <c r="K178" s="19"/>
      <c r="L178" s="19"/>
      <c r="O178" s="20"/>
      <c r="P178" s="20"/>
      <c r="Q178" s="19"/>
      <c r="S178" s="19"/>
      <c r="T178" s="19"/>
      <c r="U178" s="19"/>
      <c r="V178" s="19"/>
      <c r="W178" s="19"/>
      <c r="X178" s="19"/>
    </row>
    <row r="179" ht="15.75" customHeight="1">
      <c r="D179" s="19"/>
      <c r="E179" s="19"/>
      <c r="F179" s="19"/>
      <c r="H179" s="19"/>
      <c r="I179" s="5"/>
      <c r="J179" s="19"/>
      <c r="K179" s="19"/>
      <c r="L179" s="19"/>
      <c r="O179" s="20"/>
      <c r="P179" s="20"/>
      <c r="Q179" s="19"/>
      <c r="S179" s="19"/>
      <c r="T179" s="19"/>
      <c r="U179" s="19"/>
      <c r="V179" s="19"/>
      <c r="W179" s="19"/>
      <c r="X179" s="19"/>
    </row>
    <row r="180" ht="15.75" customHeight="1">
      <c r="D180" s="19"/>
      <c r="E180" s="19"/>
      <c r="F180" s="19"/>
      <c r="H180" s="19"/>
      <c r="I180" s="5"/>
      <c r="J180" s="19"/>
      <c r="K180" s="19"/>
      <c r="L180" s="19"/>
      <c r="O180" s="20"/>
      <c r="P180" s="20"/>
      <c r="Q180" s="19"/>
      <c r="S180" s="19"/>
      <c r="T180" s="19"/>
      <c r="U180" s="19"/>
      <c r="V180" s="19"/>
      <c r="W180" s="19"/>
      <c r="X180" s="19"/>
    </row>
    <row r="181" ht="15.75" customHeight="1">
      <c r="D181" s="19"/>
      <c r="E181" s="19"/>
      <c r="F181" s="19"/>
      <c r="H181" s="19"/>
      <c r="I181" s="5"/>
      <c r="J181" s="19"/>
      <c r="K181" s="19"/>
      <c r="L181" s="19"/>
      <c r="O181" s="20"/>
      <c r="P181" s="20"/>
      <c r="Q181" s="19"/>
      <c r="S181" s="19"/>
      <c r="T181" s="19"/>
      <c r="U181" s="19"/>
      <c r="V181" s="19"/>
      <c r="W181" s="19"/>
      <c r="X181" s="19"/>
    </row>
    <row r="182" ht="15.75" customHeight="1">
      <c r="D182" s="19"/>
      <c r="E182" s="19"/>
      <c r="F182" s="19"/>
      <c r="H182" s="19"/>
      <c r="I182" s="5"/>
      <c r="J182" s="19"/>
      <c r="K182" s="19"/>
      <c r="L182" s="19"/>
      <c r="O182" s="20"/>
      <c r="P182" s="20"/>
      <c r="Q182" s="19"/>
      <c r="S182" s="19"/>
      <c r="T182" s="19"/>
      <c r="U182" s="19"/>
      <c r="V182" s="19"/>
      <c r="W182" s="19"/>
      <c r="X182" s="19"/>
    </row>
    <row r="183" ht="15.75" customHeight="1">
      <c r="D183" s="19"/>
      <c r="E183" s="19"/>
      <c r="F183" s="19"/>
      <c r="H183" s="19"/>
      <c r="I183" s="5"/>
      <c r="J183" s="19"/>
      <c r="K183" s="19"/>
      <c r="L183" s="19"/>
      <c r="O183" s="20"/>
      <c r="P183" s="20"/>
      <c r="Q183" s="19"/>
      <c r="S183" s="19"/>
      <c r="T183" s="19"/>
      <c r="U183" s="19"/>
      <c r="V183" s="19"/>
      <c r="W183" s="19"/>
      <c r="X183" s="19"/>
    </row>
    <row r="184" ht="15.75" customHeight="1">
      <c r="D184" s="19"/>
      <c r="E184" s="19"/>
      <c r="F184" s="19"/>
      <c r="H184" s="19"/>
      <c r="I184" s="5"/>
      <c r="J184" s="19"/>
      <c r="K184" s="19"/>
      <c r="L184" s="19"/>
      <c r="O184" s="20"/>
      <c r="P184" s="20"/>
      <c r="Q184" s="19"/>
      <c r="S184" s="19"/>
      <c r="T184" s="19"/>
      <c r="U184" s="19"/>
      <c r="V184" s="19"/>
      <c r="W184" s="19"/>
      <c r="X184" s="19"/>
    </row>
    <row r="185" ht="15.75" customHeight="1">
      <c r="D185" s="19"/>
      <c r="E185" s="19"/>
      <c r="F185" s="19"/>
      <c r="H185" s="19"/>
      <c r="I185" s="5"/>
      <c r="J185" s="19"/>
      <c r="K185" s="19"/>
      <c r="L185" s="19"/>
      <c r="O185" s="20"/>
      <c r="P185" s="20"/>
      <c r="Q185" s="19"/>
      <c r="S185" s="19"/>
      <c r="T185" s="19"/>
      <c r="U185" s="19"/>
      <c r="V185" s="19"/>
      <c r="W185" s="19"/>
      <c r="X185" s="19"/>
    </row>
    <row r="186" ht="15.75" customHeight="1">
      <c r="D186" s="19"/>
      <c r="E186" s="19"/>
      <c r="F186" s="19"/>
      <c r="H186" s="19"/>
      <c r="I186" s="5"/>
      <c r="J186" s="19"/>
      <c r="K186" s="19"/>
      <c r="L186" s="19"/>
      <c r="O186" s="20"/>
      <c r="P186" s="20"/>
      <c r="Q186" s="19"/>
      <c r="S186" s="19"/>
      <c r="T186" s="19"/>
      <c r="U186" s="19"/>
      <c r="V186" s="19"/>
      <c r="W186" s="19"/>
      <c r="X186" s="19"/>
    </row>
    <row r="187" ht="15.75" customHeight="1">
      <c r="D187" s="19"/>
      <c r="E187" s="19"/>
      <c r="F187" s="19"/>
      <c r="H187" s="19"/>
      <c r="I187" s="5"/>
      <c r="J187" s="19"/>
      <c r="K187" s="19"/>
      <c r="L187" s="19"/>
      <c r="O187" s="20"/>
      <c r="P187" s="20"/>
      <c r="Q187" s="19"/>
      <c r="S187" s="19"/>
      <c r="T187" s="19"/>
      <c r="U187" s="19"/>
      <c r="V187" s="19"/>
      <c r="W187" s="19"/>
      <c r="X187" s="19"/>
    </row>
    <row r="188" ht="15.75" customHeight="1">
      <c r="D188" s="19"/>
      <c r="E188" s="19"/>
      <c r="F188" s="19"/>
      <c r="H188" s="19"/>
      <c r="I188" s="5"/>
      <c r="J188" s="19"/>
      <c r="K188" s="19"/>
      <c r="L188" s="19"/>
      <c r="O188" s="20"/>
      <c r="P188" s="20"/>
      <c r="Q188" s="19"/>
      <c r="S188" s="19"/>
      <c r="T188" s="19"/>
      <c r="U188" s="19"/>
      <c r="V188" s="19"/>
      <c r="W188" s="19"/>
      <c r="X188" s="19"/>
    </row>
    <row r="189" ht="15.75" customHeight="1">
      <c r="D189" s="19"/>
      <c r="E189" s="19"/>
      <c r="F189" s="19"/>
      <c r="H189" s="19"/>
      <c r="I189" s="5"/>
      <c r="J189" s="19"/>
      <c r="K189" s="19"/>
      <c r="L189" s="19"/>
      <c r="O189" s="20"/>
      <c r="P189" s="20"/>
      <c r="Q189" s="19"/>
      <c r="S189" s="19"/>
      <c r="T189" s="19"/>
      <c r="U189" s="19"/>
      <c r="V189" s="19"/>
      <c r="W189" s="19"/>
      <c r="X189" s="19"/>
    </row>
    <row r="190" ht="15.75" customHeight="1">
      <c r="D190" s="19"/>
      <c r="E190" s="19"/>
      <c r="F190" s="19"/>
      <c r="H190" s="19"/>
      <c r="I190" s="5"/>
      <c r="J190" s="19"/>
      <c r="K190" s="19"/>
      <c r="L190" s="19"/>
      <c r="O190" s="20"/>
      <c r="P190" s="20"/>
      <c r="Q190" s="19"/>
      <c r="S190" s="19"/>
      <c r="T190" s="19"/>
      <c r="U190" s="19"/>
      <c r="V190" s="19"/>
      <c r="W190" s="19"/>
      <c r="X190" s="19"/>
    </row>
    <row r="191" ht="15.75" customHeight="1">
      <c r="D191" s="19"/>
      <c r="E191" s="19"/>
      <c r="F191" s="19"/>
      <c r="H191" s="19"/>
      <c r="I191" s="5"/>
      <c r="J191" s="19"/>
      <c r="K191" s="19"/>
      <c r="L191" s="19"/>
      <c r="O191" s="20"/>
      <c r="P191" s="20"/>
      <c r="Q191" s="19"/>
      <c r="S191" s="19"/>
      <c r="T191" s="19"/>
      <c r="U191" s="19"/>
      <c r="V191" s="19"/>
      <c r="W191" s="19"/>
      <c r="X191" s="19"/>
    </row>
    <row r="192" ht="15.75" customHeight="1">
      <c r="D192" s="19"/>
      <c r="E192" s="19"/>
      <c r="F192" s="19"/>
      <c r="H192" s="19"/>
      <c r="I192" s="5"/>
      <c r="J192" s="19"/>
      <c r="K192" s="19"/>
      <c r="L192" s="19"/>
      <c r="O192" s="20"/>
      <c r="P192" s="20"/>
      <c r="Q192" s="19"/>
      <c r="S192" s="19"/>
      <c r="T192" s="19"/>
      <c r="U192" s="19"/>
      <c r="V192" s="19"/>
      <c r="W192" s="19"/>
      <c r="X192" s="19"/>
    </row>
    <row r="193" ht="15.75" customHeight="1">
      <c r="D193" s="19"/>
      <c r="E193" s="19"/>
      <c r="F193" s="19"/>
      <c r="H193" s="19"/>
      <c r="I193" s="5"/>
      <c r="J193" s="19"/>
      <c r="K193" s="19"/>
      <c r="L193" s="19"/>
      <c r="O193" s="20"/>
      <c r="P193" s="20"/>
      <c r="Q193" s="19"/>
      <c r="S193" s="19"/>
      <c r="T193" s="19"/>
      <c r="U193" s="19"/>
      <c r="V193" s="19"/>
      <c r="W193" s="19"/>
      <c r="X193" s="19"/>
    </row>
    <row r="194" ht="15.75" customHeight="1">
      <c r="D194" s="19"/>
      <c r="E194" s="19"/>
      <c r="F194" s="19"/>
      <c r="H194" s="19"/>
      <c r="I194" s="5"/>
      <c r="J194" s="19"/>
      <c r="K194" s="19"/>
      <c r="L194" s="19"/>
      <c r="O194" s="20"/>
      <c r="P194" s="20"/>
      <c r="Q194" s="19"/>
      <c r="S194" s="19"/>
      <c r="T194" s="19"/>
      <c r="U194" s="19"/>
      <c r="V194" s="19"/>
      <c r="W194" s="19"/>
      <c r="X194" s="19"/>
    </row>
    <row r="195" ht="15.75" customHeight="1">
      <c r="D195" s="19"/>
      <c r="E195" s="19"/>
      <c r="F195" s="19"/>
      <c r="H195" s="19"/>
      <c r="I195" s="5"/>
      <c r="J195" s="19"/>
      <c r="K195" s="19"/>
      <c r="L195" s="19"/>
      <c r="O195" s="20"/>
      <c r="P195" s="20"/>
      <c r="Q195" s="19"/>
      <c r="S195" s="19"/>
      <c r="T195" s="19"/>
      <c r="U195" s="19"/>
      <c r="V195" s="19"/>
      <c r="W195" s="19"/>
      <c r="X195" s="19"/>
    </row>
    <row r="196" ht="15.75" customHeight="1">
      <c r="D196" s="19"/>
      <c r="E196" s="19"/>
      <c r="F196" s="19"/>
      <c r="H196" s="19"/>
      <c r="I196" s="5"/>
      <c r="J196" s="19"/>
      <c r="K196" s="19"/>
      <c r="L196" s="19"/>
      <c r="O196" s="20"/>
      <c r="P196" s="20"/>
      <c r="Q196" s="19"/>
      <c r="S196" s="19"/>
      <c r="T196" s="19"/>
      <c r="U196" s="19"/>
      <c r="V196" s="19"/>
      <c r="W196" s="19"/>
      <c r="X196" s="19"/>
    </row>
    <row r="197" ht="15.75" customHeight="1">
      <c r="D197" s="19"/>
      <c r="E197" s="19"/>
      <c r="F197" s="19"/>
      <c r="H197" s="19"/>
      <c r="I197" s="5"/>
      <c r="J197" s="19"/>
      <c r="K197" s="19"/>
      <c r="L197" s="19"/>
      <c r="O197" s="20"/>
      <c r="P197" s="20"/>
      <c r="Q197" s="19"/>
      <c r="S197" s="19"/>
      <c r="T197" s="19"/>
      <c r="U197" s="19"/>
      <c r="V197" s="19"/>
      <c r="W197" s="19"/>
      <c r="X197" s="19"/>
    </row>
    <row r="198" ht="15.75" customHeight="1">
      <c r="D198" s="19"/>
      <c r="E198" s="19"/>
      <c r="F198" s="19"/>
      <c r="H198" s="19"/>
      <c r="I198" s="5"/>
      <c r="J198" s="19"/>
      <c r="K198" s="19"/>
      <c r="L198" s="19"/>
      <c r="O198" s="20"/>
      <c r="P198" s="20"/>
      <c r="Q198" s="19"/>
      <c r="S198" s="19"/>
      <c r="T198" s="19"/>
      <c r="U198" s="19"/>
      <c r="V198" s="19"/>
      <c r="W198" s="19"/>
      <c r="X198" s="19"/>
    </row>
    <row r="199" ht="15.75" customHeight="1">
      <c r="D199" s="19"/>
      <c r="E199" s="19"/>
      <c r="F199" s="19"/>
      <c r="H199" s="19"/>
      <c r="I199" s="5"/>
      <c r="J199" s="19"/>
      <c r="K199" s="19"/>
      <c r="L199" s="19"/>
      <c r="O199" s="20"/>
      <c r="P199" s="20"/>
      <c r="Q199" s="19"/>
      <c r="S199" s="19"/>
      <c r="T199" s="19"/>
      <c r="U199" s="19"/>
      <c r="V199" s="19"/>
      <c r="W199" s="19"/>
      <c r="X199" s="19"/>
    </row>
    <row r="200" ht="15.75" customHeight="1">
      <c r="D200" s="19"/>
      <c r="E200" s="19"/>
      <c r="F200" s="19"/>
      <c r="H200" s="19"/>
      <c r="I200" s="5"/>
      <c r="J200" s="19"/>
      <c r="K200" s="19"/>
      <c r="L200" s="19"/>
      <c r="O200" s="20"/>
      <c r="P200" s="20"/>
      <c r="Q200" s="19"/>
      <c r="S200" s="19"/>
      <c r="T200" s="19"/>
      <c r="U200" s="19"/>
      <c r="V200" s="19"/>
      <c r="W200" s="19"/>
      <c r="X200" s="19"/>
    </row>
    <row r="201" ht="15.75" customHeight="1">
      <c r="D201" s="19"/>
      <c r="E201" s="19"/>
      <c r="F201" s="19"/>
      <c r="H201" s="19"/>
      <c r="I201" s="5"/>
      <c r="J201" s="19"/>
      <c r="K201" s="19"/>
      <c r="L201" s="19"/>
      <c r="O201" s="20"/>
      <c r="P201" s="20"/>
      <c r="Q201" s="19"/>
      <c r="S201" s="19"/>
      <c r="T201" s="19"/>
      <c r="U201" s="19"/>
      <c r="V201" s="19"/>
      <c r="W201" s="19"/>
      <c r="X201" s="19"/>
    </row>
    <row r="202" ht="15.75" customHeight="1">
      <c r="D202" s="19"/>
      <c r="E202" s="19"/>
      <c r="F202" s="19"/>
      <c r="H202" s="19"/>
      <c r="I202" s="5"/>
      <c r="J202" s="19"/>
      <c r="K202" s="19"/>
      <c r="L202" s="19"/>
      <c r="O202" s="20"/>
      <c r="P202" s="20"/>
      <c r="Q202" s="19"/>
      <c r="S202" s="19"/>
      <c r="T202" s="19"/>
      <c r="U202" s="19"/>
      <c r="V202" s="19"/>
      <c r="W202" s="19"/>
      <c r="X202" s="19"/>
    </row>
    <row r="203" ht="15.75" customHeight="1">
      <c r="D203" s="19"/>
      <c r="E203" s="19"/>
      <c r="F203" s="19"/>
      <c r="H203" s="19"/>
      <c r="I203" s="5"/>
      <c r="J203" s="19"/>
      <c r="K203" s="19"/>
      <c r="L203" s="19"/>
      <c r="O203" s="20"/>
      <c r="P203" s="20"/>
      <c r="Q203" s="19"/>
      <c r="S203" s="19"/>
      <c r="T203" s="19"/>
      <c r="U203" s="19"/>
      <c r="V203" s="19"/>
      <c r="W203" s="19"/>
      <c r="X203" s="19"/>
    </row>
    <row r="204" ht="15.75" customHeight="1">
      <c r="D204" s="19"/>
      <c r="E204" s="19"/>
      <c r="F204" s="19"/>
      <c r="H204" s="19"/>
      <c r="I204" s="5"/>
      <c r="J204" s="19"/>
      <c r="K204" s="19"/>
      <c r="L204" s="19"/>
      <c r="O204" s="20"/>
      <c r="P204" s="20"/>
      <c r="Q204" s="19"/>
      <c r="S204" s="19"/>
      <c r="T204" s="19"/>
      <c r="U204" s="19"/>
      <c r="V204" s="19"/>
      <c r="W204" s="19"/>
      <c r="X204" s="19"/>
    </row>
    <row r="205" ht="15.75" customHeight="1">
      <c r="D205" s="19"/>
      <c r="E205" s="19"/>
      <c r="F205" s="19"/>
      <c r="H205" s="19"/>
      <c r="I205" s="5"/>
      <c r="J205" s="19"/>
      <c r="K205" s="19"/>
      <c r="L205" s="19"/>
      <c r="O205" s="20"/>
      <c r="P205" s="20"/>
      <c r="Q205" s="19"/>
      <c r="S205" s="19"/>
      <c r="T205" s="19"/>
      <c r="U205" s="19"/>
      <c r="V205" s="19"/>
      <c r="W205" s="19"/>
      <c r="X205" s="19"/>
    </row>
    <row r="206" ht="15.75" customHeight="1">
      <c r="D206" s="19"/>
      <c r="E206" s="19"/>
      <c r="F206" s="19"/>
      <c r="H206" s="19"/>
      <c r="I206" s="5"/>
      <c r="J206" s="19"/>
      <c r="K206" s="19"/>
      <c r="L206" s="19"/>
      <c r="O206" s="20"/>
      <c r="P206" s="20"/>
      <c r="Q206" s="19"/>
      <c r="S206" s="19"/>
      <c r="T206" s="19"/>
      <c r="U206" s="19"/>
      <c r="V206" s="19"/>
      <c r="W206" s="19"/>
      <c r="X206" s="19"/>
    </row>
    <row r="207" ht="15.75" customHeight="1">
      <c r="D207" s="19"/>
      <c r="E207" s="19"/>
      <c r="F207" s="19"/>
      <c r="H207" s="19"/>
      <c r="I207" s="5"/>
      <c r="J207" s="19"/>
      <c r="K207" s="19"/>
      <c r="L207" s="19"/>
      <c r="O207" s="20"/>
      <c r="P207" s="20"/>
      <c r="Q207" s="19"/>
      <c r="S207" s="19"/>
      <c r="T207" s="19"/>
      <c r="U207" s="19"/>
      <c r="V207" s="19"/>
      <c r="W207" s="19"/>
      <c r="X207" s="19"/>
    </row>
    <row r="208" ht="15.75" customHeight="1">
      <c r="D208" s="19"/>
      <c r="E208" s="19"/>
      <c r="F208" s="19"/>
      <c r="H208" s="19"/>
      <c r="I208" s="5"/>
      <c r="J208" s="19"/>
      <c r="K208" s="19"/>
      <c r="L208" s="19"/>
      <c r="O208" s="20"/>
      <c r="P208" s="20"/>
      <c r="Q208" s="19"/>
      <c r="S208" s="19"/>
      <c r="T208" s="19"/>
      <c r="U208" s="19"/>
      <c r="V208" s="19"/>
      <c r="W208" s="19"/>
      <c r="X208" s="19"/>
    </row>
    <row r="209" ht="15.75" customHeight="1">
      <c r="D209" s="19"/>
      <c r="E209" s="19"/>
      <c r="F209" s="19"/>
      <c r="H209" s="19"/>
      <c r="I209" s="5"/>
      <c r="J209" s="19"/>
      <c r="K209" s="19"/>
      <c r="L209" s="19"/>
      <c r="O209" s="20"/>
      <c r="P209" s="20"/>
      <c r="Q209" s="19"/>
      <c r="S209" s="19"/>
      <c r="T209" s="19"/>
      <c r="U209" s="19"/>
      <c r="V209" s="19"/>
      <c r="W209" s="19"/>
      <c r="X209" s="19"/>
    </row>
    <row r="210" ht="15.75" customHeight="1">
      <c r="D210" s="19"/>
      <c r="E210" s="19"/>
      <c r="F210" s="19"/>
      <c r="H210" s="19"/>
      <c r="I210" s="5"/>
      <c r="J210" s="19"/>
      <c r="K210" s="19"/>
      <c r="L210" s="19"/>
      <c r="O210" s="20"/>
      <c r="P210" s="20"/>
      <c r="Q210" s="19"/>
      <c r="S210" s="19"/>
      <c r="T210" s="19"/>
      <c r="U210" s="19"/>
      <c r="V210" s="19"/>
      <c r="W210" s="19"/>
      <c r="X210" s="19"/>
    </row>
    <row r="211" ht="15.75" customHeight="1">
      <c r="D211" s="19"/>
      <c r="E211" s="19"/>
      <c r="F211" s="19"/>
      <c r="H211" s="19"/>
      <c r="I211" s="5"/>
      <c r="J211" s="19"/>
      <c r="K211" s="19"/>
      <c r="L211" s="19"/>
      <c r="O211" s="20"/>
      <c r="P211" s="20"/>
      <c r="Q211" s="19"/>
      <c r="S211" s="19"/>
      <c r="T211" s="19"/>
      <c r="U211" s="19"/>
      <c r="V211" s="19"/>
      <c r="W211" s="19"/>
      <c r="X211" s="19"/>
    </row>
    <row r="212" ht="15.75" customHeight="1">
      <c r="D212" s="19"/>
      <c r="E212" s="19"/>
      <c r="F212" s="19"/>
      <c r="H212" s="19"/>
      <c r="I212" s="5"/>
      <c r="J212" s="19"/>
      <c r="K212" s="19"/>
      <c r="L212" s="19"/>
      <c r="O212" s="20"/>
      <c r="P212" s="20"/>
      <c r="Q212" s="19"/>
      <c r="S212" s="19"/>
      <c r="T212" s="19"/>
      <c r="U212" s="19"/>
      <c r="V212" s="19"/>
      <c r="W212" s="19"/>
      <c r="X212" s="19"/>
    </row>
    <row r="213" ht="15.75" customHeight="1">
      <c r="D213" s="19"/>
      <c r="E213" s="19"/>
      <c r="F213" s="19"/>
      <c r="H213" s="19"/>
      <c r="I213" s="5"/>
      <c r="J213" s="19"/>
      <c r="K213" s="19"/>
      <c r="L213" s="19"/>
      <c r="O213" s="20"/>
      <c r="P213" s="20"/>
      <c r="Q213" s="19"/>
      <c r="S213" s="19"/>
      <c r="T213" s="19"/>
      <c r="U213" s="19"/>
      <c r="V213" s="19"/>
      <c r="W213" s="19"/>
      <c r="X213" s="19"/>
    </row>
    <row r="214" ht="15.75" customHeight="1">
      <c r="D214" s="19"/>
      <c r="E214" s="19"/>
      <c r="F214" s="19"/>
      <c r="H214" s="19"/>
      <c r="I214" s="5"/>
      <c r="J214" s="19"/>
      <c r="K214" s="19"/>
      <c r="L214" s="19"/>
      <c r="O214" s="20"/>
      <c r="P214" s="20"/>
      <c r="Q214" s="19"/>
      <c r="S214" s="19"/>
      <c r="T214" s="19"/>
      <c r="U214" s="19"/>
      <c r="V214" s="19"/>
      <c r="W214" s="19"/>
      <c r="X214" s="19"/>
    </row>
    <row r="215" ht="15.75" customHeight="1">
      <c r="D215" s="19"/>
      <c r="E215" s="19"/>
      <c r="F215" s="19"/>
      <c r="H215" s="19"/>
      <c r="I215" s="5"/>
      <c r="J215" s="19"/>
      <c r="K215" s="19"/>
      <c r="L215" s="19"/>
      <c r="O215" s="20"/>
      <c r="P215" s="20"/>
      <c r="Q215" s="19"/>
      <c r="S215" s="19"/>
      <c r="T215" s="19"/>
      <c r="U215" s="19"/>
      <c r="V215" s="19"/>
      <c r="W215" s="19"/>
      <c r="X215" s="19"/>
    </row>
    <row r="216" ht="15.75" customHeight="1">
      <c r="D216" s="19"/>
      <c r="E216" s="19"/>
      <c r="F216" s="19"/>
      <c r="H216" s="19"/>
      <c r="I216" s="5"/>
      <c r="J216" s="19"/>
      <c r="K216" s="19"/>
      <c r="L216" s="19"/>
      <c r="O216" s="20"/>
      <c r="P216" s="20"/>
      <c r="Q216" s="19"/>
      <c r="S216" s="19"/>
      <c r="T216" s="19"/>
      <c r="U216" s="19"/>
      <c r="V216" s="19"/>
      <c r="W216" s="19"/>
      <c r="X216" s="19"/>
    </row>
    <row r="217" ht="15.75" customHeight="1">
      <c r="D217" s="19"/>
      <c r="E217" s="19"/>
      <c r="F217" s="19"/>
      <c r="H217" s="19"/>
      <c r="I217" s="5"/>
      <c r="J217" s="19"/>
      <c r="K217" s="19"/>
      <c r="L217" s="19"/>
      <c r="O217" s="20"/>
      <c r="P217" s="20"/>
      <c r="Q217" s="19"/>
      <c r="S217" s="19"/>
      <c r="T217" s="19"/>
      <c r="U217" s="19"/>
      <c r="V217" s="19"/>
      <c r="W217" s="19"/>
      <c r="X217" s="19"/>
    </row>
    <row r="218" ht="15.75" customHeight="1">
      <c r="D218" s="19"/>
      <c r="E218" s="19"/>
      <c r="F218" s="19"/>
      <c r="H218" s="19"/>
      <c r="I218" s="5"/>
      <c r="J218" s="19"/>
      <c r="K218" s="19"/>
      <c r="L218" s="19"/>
      <c r="O218" s="20"/>
      <c r="P218" s="20"/>
      <c r="Q218" s="19"/>
      <c r="S218" s="19"/>
      <c r="T218" s="19"/>
      <c r="U218" s="19"/>
      <c r="V218" s="19"/>
      <c r="W218" s="19"/>
      <c r="X218" s="19"/>
    </row>
    <row r="219" ht="15.75" customHeight="1">
      <c r="D219" s="19"/>
      <c r="E219" s="19"/>
      <c r="F219" s="19"/>
      <c r="H219" s="19"/>
      <c r="I219" s="5"/>
      <c r="J219" s="19"/>
      <c r="K219" s="19"/>
      <c r="L219" s="19"/>
      <c r="O219" s="20"/>
      <c r="P219" s="20"/>
      <c r="Q219" s="19"/>
      <c r="S219" s="19"/>
      <c r="T219" s="19"/>
      <c r="U219" s="19"/>
      <c r="V219" s="19"/>
      <c r="W219" s="19"/>
      <c r="X219" s="19"/>
    </row>
    <row r="220" ht="15.75" customHeight="1">
      <c r="D220" s="19"/>
      <c r="E220" s="19"/>
      <c r="F220" s="19"/>
      <c r="H220" s="19"/>
      <c r="I220" s="5"/>
      <c r="J220" s="19"/>
      <c r="K220" s="19"/>
      <c r="L220" s="19"/>
      <c r="O220" s="20"/>
      <c r="P220" s="20"/>
      <c r="Q220" s="19"/>
      <c r="S220" s="19"/>
      <c r="T220" s="19"/>
      <c r="U220" s="19"/>
      <c r="V220" s="19"/>
      <c r="W220" s="19"/>
      <c r="X220" s="19"/>
    </row>
    <row r="221" ht="15.75" customHeight="1">
      <c r="D221" s="19"/>
      <c r="E221" s="19"/>
      <c r="F221" s="19"/>
      <c r="H221" s="19"/>
      <c r="I221" s="5"/>
      <c r="J221" s="19"/>
      <c r="K221" s="19"/>
      <c r="L221" s="19"/>
      <c r="O221" s="20"/>
      <c r="P221" s="20"/>
      <c r="Q221" s="19"/>
      <c r="S221" s="19"/>
      <c r="T221" s="19"/>
      <c r="U221" s="19"/>
      <c r="V221" s="19"/>
      <c r="W221" s="19"/>
      <c r="X221" s="19"/>
    </row>
    <row r="222" ht="15.75" customHeight="1">
      <c r="D222" s="19"/>
      <c r="E222" s="19"/>
      <c r="F222" s="19"/>
      <c r="H222" s="19"/>
      <c r="I222" s="5"/>
      <c r="J222" s="19"/>
      <c r="K222" s="19"/>
      <c r="L222" s="19"/>
      <c r="O222" s="20"/>
      <c r="P222" s="20"/>
      <c r="Q222" s="19"/>
      <c r="S222" s="19"/>
      <c r="T222" s="19"/>
      <c r="U222" s="19"/>
      <c r="V222" s="19"/>
      <c r="W222" s="19"/>
      <c r="X222" s="19"/>
    </row>
    <row r="223" ht="15.75" customHeight="1">
      <c r="D223" s="19"/>
      <c r="E223" s="19"/>
      <c r="F223" s="19"/>
      <c r="H223" s="19"/>
      <c r="I223" s="5"/>
      <c r="J223" s="19"/>
      <c r="K223" s="19"/>
      <c r="L223" s="19"/>
      <c r="O223" s="20"/>
      <c r="P223" s="20"/>
      <c r="Q223" s="19"/>
      <c r="S223" s="19"/>
      <c r="T223" s="19"/>
      <c r="U223" s="19"/>
      <c r="V223" s="19"/>
      <c r="W223" s="19"/>
      <c r="X223" s="19"/>
    </row>
    <row r="224" ht="15.75" customHeight="1">
      <c r="D224" s="19"/>
      <c r="E224" s="19"/>
      <c r="F224" s="19"/>
      <c r="H224" s="19"/>
      <c r="I224" s="5"/>
      <c r="J224" s="19"/>
      <c r="K224" s="19"/>
      <c r="L224" s="19"/>
      <c r="O224" s="20"/>
      <c r="P224" s="20"/>
      <c r="Q224" s="19"/>
      <c r="S224" s="19"/>
      <c r="T224" s="19"/>
      <c r="U224" s="19"/>
      <c r="V224" s="19"/>
      <c r="W224" s="19"/>
      <c r="X224" s="19"/>
    </row>
    <row r="225" ht="15.75" customHeight="1">
      <c r="D225" s="19"/>
      <c r="E225" s="19"/>
      <c r="F225" s="19"/>
      <c r="H225" s="19"/>
      <c r="I225" s="5"/>
      <c r="J225" s="19"/>
      <c r="K225" s="19"/>
      <c r="L225" s="19"/>
      <c r="O225" s="20"/>
      <c r="P225" s="20"/>
      <c r="Q225" s="19"/>
      <c r="S225" s="19"/>
      <c r="T225" s="19"/>
      <c r="U225" s="19"/>
      <c r="V225" s="19"/>
      <c r="W225" s="19"/>
      <c r="X225" s="19"/>
    </row>
    <row r="226" ht="15.75" customHeight="1">
      <c r="D226" s="19"/>
      <c r="E226" s="19"/>
      <c r="F226" s="19"/>
      <c r="H226" s="19"/>
      <c r="I226" s="5"/>
      <c r="J226" s="19"/>
      <c r="K226" s="19"/>
      <c r="L226" s="19"/>
      <c r="O226" s="20"/>
      <c r="P226" s="20"/>
      <c r="Q226" s="19"/>
      <c r="S226" s="19"/>
      <c r="T226" s="19"/>
      <c r="U226" s="19"/>
      <c r="V226" s="19"/>
      <c r="W226" s="19"/>
      <c r="X226" s="19"/>
    </row>
    <row r="227" ht="15.75" customHeight="1">
      <c r="D227" s="19"/>
      <c r="E227" s="19"/>
      <c r="F227" s="19"/>
      <c r="H227" s="19"/>
      <c r="I227" s="5"/>
      <c r="J227" s="19"/>
      <c r="K227" s="19"/>
      <c r="L227" s="19"/>
      <c r="O227" s="20"/>
      <c r="P227" s="20"/>
      <c r="Q227" s="19"/>
      <c r="S227" s="19"/>
      <c r="T227" s="19"/>
      <c r="U227" s="19"/>
      <c r="V227" s="19"/>
      <c r="W227" s="19"/>
      <c r="X227" s="19"/>
    </row>
    <row r="228" ht="15.75" customHeight="1">
      <c r="D228" s="19"/>
      <c r="E228" s="19"/>
      <c r="F228" s="19"/>
      <c r="H228" s="19"/>
      <c r="I228" s="5"/>
      <c r="J228" s="19"/>
      <c r="K228" s="19"/>
      <c r="L228" s="19"/>
      <c r="O228" s="20"/>
      <c r="P228" s="20"/>
      <c r="Q228" s="19"/>
      <c r="S228" s="19"/>
      <c r="T228" s="19"/>
      <c r="U228" s="19"/>
      <c r="V228" s="19"/>
      <c r="W228" s="19"/>
      <c r="X228" s="19"/>
    </row>
    <row r="229" ht="15.75" customHeight="1">
      <c r="D229" s="19"/>
      <c r="E229" s="19"/>
      <c r="F229" s="19"/>
      <c r="H229" s="19"/>
      <c r="I229" s="5"/>
      <c r="J229" s="19"/>
      <c r="K229" s="19"/>
      <c r="L229" s="19"/>
      <c r="O229" s="20"/>
      <c r="P229" s="20"/>
      <c r="Q229" s="19"/>
      <c r="S229" s="19"/>
      <c r="T229" s="19"/>
      <c r="U229" s="19"/>
      <c r="V229" s="19"/>
      <c r="W229" s="19"/>
      <c r="X229" s="19"/>
    </row>
    <row r="230" ht="15.75" customHeight="1">
      <c r="D230" s="19"/>
      <c r="E230" s="19"/>
      <c r="F230" s="19"/>
      <c r="H230" s="19"/>
      <c r="I230" s="5"/>
      <c r="J230" s="19"/>
      <c r="K230" s="19"/>
      <c r="L230" s="19"/>
      <c r="O230" s="20"/>
      <c r="P230" s="20"/>
      <c r="Q230" s="19"/>
      <c r="S230" s="19"/>
      <c r="T230" s="19"/>
      <c r="U230" s="19"/>
      <c r="V230" s="19"/>
      <c r="W230" s="19"/>
      <c r="X230" s="19"/>
    </row>
    <row r="231" ht="15.75" customHeight="1">
      <c r="D231" s="19"/>
      <c r="E231" s="19"/>
      <c r="F231" s="19"/>
      <c r="H231" s="19"/>
      <c r="I231" s="5"/>
      <c r="J231" s="19"/>
      <c r="K231" s="19"/>
      <c r="L231" s="19"/>
      <c r="O231" s="20"/>
      <c r="P231" s="20"/>
      <c r="Q231" s="19"/>
      <c r="S231" s="19"/>
      <c r="T231" s="19"/>
      <c r="U231" s="19"/>
      <c r="V231" s="19"/>
      <c r="W231" s="19"/>
      <c r="X231" s="19"/>
    </row>
    <row r="232" ht="15.75" customHeight="1">
      <c r="D232" s="19"/>
      <c r="E232" s="19"/>
      <c r="F232" s="19"/>
      <c r="H232" s="19"/>
      <c r="I232" s="5"/>
      <c r="J232" s="19"/>
      <c r="K232" s="19"/>
      <c r="L232" s="19"/>
      <c r="O232" s="20"/>
      <c r="P232" s="20"/>
      <c r="Q232" s="19"/>
      <c r="S232" s="19"/>
      <c r="T232" s="19"/>
      <c r="U232" s="19"/>
      <c r="V232" s="19"/>
      <c r="W232" s="19"/>
      <c r="X232" s="19"/>
    </row>
    <row r="233" ht="15.75" customHeight="1">
      <c r="D233" s="19"/>
      <c r="E233" s="19"/>
      <c r="F233" s="19"/>
      <c r="H233" s="19"/>
      <c r="I233" s="5"/>
      <c r="J233" s="19"/>
      <c r="K233" s="19"/>
      <c r="L233" s="19"/>
      <c r="O233" s="20"/>
      <c r="P233" s="20"/>
      <c r="Q233" s="19"/>
      <c r="S233" s="19"/>
      <c r="T233" s="19"/>
      <c r="U233" s="19"/>
      <c r="V233" s="19"/>
      <c r="W233" s="19"/>
      <c r="X233" s="19"/>
    </row>
    <row r="234" ht="15.75" customHeight="1">
      <c r="D234" s="19"/>
      <c r="E234" s="19"/>
      <c r="F234" s="19"/>
      <c r="H234" s="19"/>
      <c r="I234" s="5"/>
      <c r="J234" s="19"/>
      <c r="K234" s="19"/>
      <c r="L234" s="19"/>
      <c r="O234" s="20"/>
      <c r="P234" s="20"/>
      <c r="Q234" s="19"/>
      <c r="S234" s="19"/>
      <c r="T234" s="19"/>
      <c r="U234" s="19"/>
      <c r="V234" s="19"/>
      <c r="W234" s="19"/>
      <c r="X234" s="19"/>
    </row>
    <row r="235" ht="15.75" customHeight="1">
      <c r="D235" s="19"/>
      <c r="E235" s="19"/>
      <c r="F235" s="19"/>
      <c r="H235" s="19"/>
      <c r="I235" s="5"/>
      <c r="J235" s="19"/>
      <c r="K235" s="19"/>
      <c r="L235" s="19"/>
      <c r="O235" s="20"/>
      <c r="P235" s="20"/>
      <c r="Q235" s="19"/>
      <c r="S235" s="19"/>
      <c r="T235" s="19"/>
      <c r="U235" s="19"/>
      <c r="V235" s="19"/>
      <c r="W235" s="19"/>
      <c r="X235" s="19"/>
    </row>
    <row r="236" ht="15.75" customHeight="1">
      <c r="D236" s="19"/>
      <c r="E236" s="19"/>
      <c r="F236" s="19"/>
      <c r="H236" s="19"/>
      <c r="I236" s="5"/>
      <c r="J236" s="19"/>
      <c r="K236" s="19"/>
      <c r="L236" s="19"/>
      <c r="O236" s="20"/>
      <c r="P236" s="20"/>
      <c r="Q236" s="19"/>
      <c r="S236" s="19"/>
      <c r="T236" s="19"/>
      <c r="U236" s="19"/>
      <c r="V236" s="19"/>
      <c r="W236" s="19"/>
      <c r="X236" s="19"/>
    </row>
    <row r="237" ht="15.75" customHeight="1">
      <c r="D237" s="19"/>
      <c r="E237" s="19"/>
      <c r="F237" s="19"/>
      <c r="H237" s="19"/>
      <c r="I237" s="5"/>
      <c r="J237" s="19"/>
      <c r="K237" s="19"/>
      <c r="L237" s="19"/>
      <c r="O237" s="20"/>
      <c r="P237" s="20"/>
      <c r="Q237" s="19"/>
      <c r="S237" s="19"/>
      <c r="T237" s="19"/>
      <c r="U237" s="19"/>
      <c r="V237" s="19"/>
      <c r="W237" s="19"/>
      <c r="X237" s="19"/>
    </row>
    <row r="238" ht="15.75" customHeight="1">
      <c r="D238" s="19"/>
      <c r="E238" s="19"/>
      <c r="F238" s="19"/>
      <c r="H238" s="19"/>
      <c r="I238" s="5"/>
      <c r="J238" s="19"/>
      <c r="K238" s="19"/>
      <c r="L238" s="19"/>
      <c r="O238" s="20"/>
      <c r="P238" s="20"/>
      <c r="Q238" s="19"/>
      <c r="S238" s="19"/>
      <c r="T238" s="19"/>
      <c r="U238" s="19"/>
      <c r="V238" s="19"/>
      <c r="W238" s="19"/>
      <c r="X238" s="19"/>
    </row>
    <row r="239" ht="15.75" customHeight="1">
      <c r="D239" s="19"/>
      <c r="E239" s="19"/>
      <c r="F239" s="19"/>
      <c r="H239" s="19"/>
      <c r="I239" s="5"/>
      <c r="J239" s="19"/>
      <c r="K239" s="19"/>
      <c r="L239" s="19"/>
      <c r="O239" s="20"/>
      <c r="P239" s="20"/>
      <c r="Q239" s="19"/>
      <c r="S239" s="19"/>
      <c r="T239" s="19"/>
      <c r="U239" s="19"/>
      <c r="V239" s="19"/>
      <c r="W239" s="19"/>
      <c r="X239" s="19"/>
    </row>
    <row r="240" ht="15.75" customHeight="1">
      <c r="D240" s="19"/>
      <c r="E240" s="19"/>
      <c r="F240" s="19"/>
      <c r="H240" s="19"/>
      <c r="I240" s="5"/>
      <c r="J240" s="19"/>
      <c r="K240" s="19"/>
      <c r="L240" s="19"/>
      <c r="O240" s="20"/>
      <c r="P240" s="20"/>
      <c r="Q240" s="19"/>
      <c r="S240" s="19"/>
      <c r="T240" s="19"/>
      <c r="U240" s="19"/>
      <c r="V240" s="19"/>
      <c r="W240" s="19"/>
      <c r="X240" s="19"/>
    </row>
    <row r="241" ht="15.75" customHeight="1">
      <c r="D241" s="19"/>
      <c r="E241" s="19"/>
      <c r="F241" s="19"/>
      <c r="H241" s="19"/>
      <c r="I241" s="5"/>
      <c r="J241" s="19"/>
      <c r="K241" s="19"/>
      <c r="L241" s="19"/>
      <c r="O241" s="20"/>
      <c r="P241" s="20"/>
      <c r="Q241" s="19"/>
      <c r="S241" s="19"/>
      <c r="T241" s="19"/>
      <c r="U241" s="19"/>
      <c r="V241" s="19"/>
      <c r="W241" s="19"/>
      <c r="X241" s="19"/>
    </row>
    <row r="242" ht="15.75" customHeight="1">
      <c r="D242" s="19"/>
      <c r="E242" s="19"/>
      <c r="F242" s="19"/>
      <c r="H242" s="19"/>
      <c r="I242" s="5"/>
      <c r="J242" s="19"/>
      <c r="K242" s="19"/>
      <c r="L242" s="19"/>
      <c r="O242" s="20"/>
      <c r="P242" s="20"/>
      <c r="Q242" s="19"/>
      <c r="S242" s="19"/>
      <c r="T242" s="19"/>
      <c r="U242" s="19"/>
      <c r="V242" s="19"/>
      <c r="W242" s="19"/>
      <c r="X242" s="19"/>
    </row>
    <row r="243" ht="15.75" customHeight="1">
      <c r="D243" s="19"/>
      <c r="E243" s="19"/>
      <c r="F243" s="19"/>
      <c r="H243" s="19"/>
      <c r="I243" s="5"/>
      <c r="J243" s="19"/>
      <c r="K243" s="19"/>
      <c r="L243" s="19"/>
      <c r="O243" s="20"/>
      <c r="P243" s="20"/>
      <c r="Q243" s="19"/>
      <c r="S243" s="19"/>
      <c r="T243" s="19"/>
      <c r="U243" s="19"/>
      <c r="V243" s="19"/>
      <c r="W243" s="19"/>
      <c r="X243" s="19"/>
    </row>
    <row r="244" ht="15.75" customHeight="1">
      <c r="D244" s="19"/>
      <c r="E244" s="19"/>
      <c r="F244" s="19"/>
      <c r="H244" s="19"/>
      <c r="I244" s="5"/>
      <c r="J244" s="19"/>
      <c r="K244" s="19"/>
      <c r="L244" s="19"/>
      <c r="O244" s="20"/>
      <c r="P244" s="20"/>
      <c r="Q244" s="19"/>
      <c r="S244" s="19"/>
      <c r="T244" s="19"/>
      <c r="U244" s="19"/>
      <c r="V244" s="19"/>
      <c r="W244" s="19"/>
      <c r="X244" s="19"/>
    </row>
    <row r="245" ht="15.75" customHeight="1">
      <c r="D245" s="19"/>
      <c r="E245" s="19"/>
      <c r="F245" s="19"/>
      <c r="H245" s="19"/>
      <c r="I245" s="5"/>
      <c r="J245" s="19"/>
      <c r="K245" s="19"/>
      <c r="L245" s="19"/>
      <c r="O245" s="20"/>
      <c r="P245" s="20"/>
      <c r="Q245" s="19"/>
      <c r="S245" s="19"/>
      <c r="T245" s="19"/>
      <c r="U245" s="19"/>
      <c r="V245" s="19"/>
      <c r="W245" s="19"/>
      <c r="X245" s="19"/>
    </row>
    <row r="246" ht="15.75" customHeight="1">
      <c r="D246" s="19"/>
      <c r="E246" s="19"/>
      <c r="F246" s="19"/>
      <c r="H246" s="19"/>
      <c r="I246" s="5"/>
      <c r="J246" s="19"/>
      <c r="K246" s="19"/>
      <c r="L246" s="19"/>
      <c r="O246" s="20"/>
      <c r="P246" s="20"/>
      <c r="Q246" s="19"/>
      <c r="S246" s="19"/>
      <c r="T246" s="19"/>
      <c r="U246" s="19"/>
      <c r="V246" s="19"/>
      <c r="W246" s="19"/>
      <c r="X246" s="19"/>
    </row>
    <row r="247" ht="15.75" customHeight="1">
      <c r="D247" s="19"/>
      <c r="E247" s="19"/>
      <c r="F247" s="19"/>
      <c r="H247" s="19"/>
      <c r="I247" s="5"/>
      <c r="J247" s="19"/>
      <c r="K247" s="19"/>
      <c r="L247" s="19"/>
      <c r="O247" s="20"/>
      <c r="P247" s="20"/>
      <c r="Q247" s="19"/>
      <c r="S247" s="19"/>
      <c r="T247" s="19"/>
      <c r="U247" s="19"/>
      <c r="V247" s="19"/>
      <c r="W247" s="19"/>
      <c r="X247" s="19"/>
    </row>
    <row r="248" ht="15.75" customHeight="1">
      <c r="D248" s="19"/>
      <c r="E248" s="19"/>
      <c r="F248" s="19"/>
      <c r="H248" s="19"/>
      <c r="I248" s="5"/>
      <c r="J248" s="19"/>
      <c r="K248" s="19"/>
      <c r="L248" s="19"/>
      <c r="O248" s="20"/>
      <c r="P248" s="20"/>
      <c r="Q248" s="19"/>
      <c r="S248" s="19"/>
      <c r="T248" s="19"/>
      <c r="U248" s="19"/>
      <c r="V248" s="19"/>
      <c r="W248" s="19"/>
      <c r="X248" s="19"/>
    </row>
    <row r="249" ht="15.75" customHeight="1">
      <c r="D249" s="19"/>
      <c r="E249" s="19"/>
      <c r="F249" s="19"/>
      <c r="H249" s="19"/>
      <c r="I249" s="5"/>
      <c r="J249" s="19"/>
      <c r="K249" s="19"/>
      <c r="L249" s="19"/>
      <c r="O249" s="20"/>
      <c r="P249" s="20"/>
      <c r="Q249" s="19"/>
      <c r="S249" s="19"/>
      <c r="T249" s="19"/>
      <c r="U249" s="19"/>
      <c r="V249" s="19"/>
      <c r="W249" s="19"/>
      <c r="X249" s="19"/>
    </row>
    <row r="250" ht="15.75" customHeight="1">
      <c r="D250" s="19"/>
      <c r="E250" s="19"/>
      <c r="F250" s="19"/>
      <c r="H250" s="19"/>
      <c r="I250" s="5"/>
      <c r="J250" s="19"/>
      <c r="K250" s="19"/>
      <c r="L250" s="19"/>
      <c r="O250" s="20"/>
      <c r="P250" s="20"/>
      <c r="Q250" s="19"/>
      <c r="S250" s="19"/>
      <c r="T250" s="19"/>
      <c r="U250" s="19"/>
      <c r="V250" s="19"/>
      <c r="W250" s="19"/>
      <c r="X250" s="19"/>
    </row>
    <row r="251" ht="15.75" customHeight="1">
      <c r="D251" s="19"/>
      <c r="E251" s="19"/>
      <c r="F251" s="19"/>
      <c r="H251" s="19"/>
      <c r="I251" s="5"/>
      <c r="J251" s="19"/>
      <c r="K251" s="19"/>
      <c r="L251" s="19"/>
      <c r="O251" s="20"/>
      <c r="P251" s="20"/>
      <c r="Q251" s="19"/>
      <c r="S251" s="19"/>
      <c r="T251" s="19"/>
      <c r="U251" s="19"/>
      <c r="V251" s="19"/>
      <c r="W251" s="19"/>
      <c r="X251" s="19"/>
    </row>
    <row r="252" ht="15.75" customHeight="1">
      <c r="D252" s="19"/>
      <c r="E252" s="19"/>
      <c r="F252" s="19"/>
      <c r="H252" s="19"/>
      <c r="I252" s="5"/>
      <c r="J252" s="19"/>
      <c r="K252" s="19"/>
      <c r="L252" s="19"/>
      <c r="O252" s="20"/>
      <c r="P252" s="20"/>
      <c r="Q252" s="19"/>
      <c r="S252" s="19"/>
      <c r="T252" s="19"/>
      <c r="U252" s="19"/>
      <c r="V252" s="19"/>
      <c r="W252" s="19"/>
      <c r="X252" s="19"/>
    </row>
    <row r="253" ht="15.75" customHeight="1">
      <c r="D253" s="19"/>
      <c r="E253" s="19"/>
      <c r="F253" s="19"/>
      <c r="H253" s="19"/>
      <c r="I253" s="5"/>
      <c r="J253" s="19"/>
      <c r="K253" s="19"/>
      <c r="L253" s="19"/>
      <c r="O253" s="20"/>
      <c r="P253" s="20"/>
      <c r="Q253" s="19"/>
      <c r="S253" s="19"/>
      <c r="T253" s="19"/>
      <c r="U253" s="19"/>
      <c r="V253" s="19"/>
      <c r="W253" s="19"/>
      <c r="X253" s="19"/>
    </row>
    <row r="254" ht="15.75" customHeight="1">
      <c r="D254" s="19"/>
      <c r="E254" s="19"/>
      <c r="F254" s="19"/>
      <c r="H254" s="19"/>
      <c r="I254" s="5"/>
      <c r="J254" s="19"/>
      <c r="K254" s="19"/>
      <c r="L254" s="19"/>
      <c r="O254" s="20"/>
      <c r="P254" s="20"/>
      <c r="Q254" s="19"/>
      <c r="S254" s="19"/>
      <c r="T254" s="19"/>
      <c r="U254" s="19"/>
      <c r="V254" s="19"/>
      <c r="W254" s="19"/>
      <c r="X254" s="19"/>
    </row>
    <row r="255" ht="15.75" customHeight="1">
      <c r="D255" s="19"/>
      <c r="E255" s="19"/>
      <c r="F255" s="19"/>
      <c r="H255" s="19"/>
      <c r="I255" s="5"/>
      <c r="J255" s="19"/>
      <c r="K255" s="19"/>
      <c r="L255" s="19"/>
      <c r="O255" s="20"/>
      <c r="P255" s="20"/>
      <c r="Q255" s="19"/>
      <c r="S255" s="19"/>
      <c r="T255" s="19"/>
      <c r="U255" s="19"/>
      <c r="V255" s="19"/>
      <c r="W255" s="19"/>
      <c r="X255" s="19"/>
    </row>
    <row r="256" ht="15.75" customHeight="1">
      <c r="D256" s="19"/>
      <c r="E256" s="19"/>
      <c r="F256" s="19"/>
      <c r="H256" s="19"/>
      <c r="I256" s="5"/>
      <c r="J256" s="19"/>
      <c r="K256" s="19"/>
      <c r="L256" s="19"/>
      <c r="O256" s="20"/>
      <c r="P256" s="20"/>
      <c r="Q256" s="19"/>
      <c r="S256" s="19"/>
      <c r="T256" s="19"/>
      <c r="U256" s="19"/>
      <c r="V256" s="19"/>
      <c r="W256" s="19"/>
      <c r="X256" s="19"/>
    </row>
    <row r="257" ht="15.75" customHeight="1">
      <c r="D257" s="19"/>
      <c r="E257" s="19"/>
      <c r="F257" s="19"/>
      <c r="H257" s="19"/>
      <c r="I257" s="5"/>
      <c r="J257" s="19"/>
      <c r="K257" s="19"/>
      <c r="L257" s="19"/>
      <c r="O257" s="20"/>
      <c r="P257" s="20"/>
      <c r="Q257" s="19"/>
      <c r="S257" s="19"/>
      <c r="T257" s="19"/>
      <c r="U257" s="19"/>
      <c r="V257" s="19"/>
      <c r="W257" s="19"/>
      <c r="X257" s="19"/>
    </row>
    <row r="258" ht="15.75" customHeight="1">
      <c r="D258" s="19"/>
      <c r="E258" s="19"/>
      <c r="F258" s="19"/>
      <c r="H258" s="19"/>
      <c r="I258" s="5"/>
      <c r="J258" s="19"/>
      <c r="K258" s="19"/>
      <c r="L258" s="19"/>
      <c r="O258" s="20"/>
      <c r="P258" s="20"/>
      <c r="Q258" s="19"/>
      <c r="S258" s="19"/>
      <c r="T258" s="19"/>
      <c r="U258" s="19"/>
      <c r="V258" s="19"/>
      <c r="W258" s="19"/>
      <c r="X258" s="19"/>
    </row>
    <row r="259" ht="15.75" customHeight="1">
      <c r="D259" s="19"/>
      <c r="E259" s="19"/>
      <c r="F259" s="19"/>
      <c r="H259" s="19"/>
      <c r="I259" s="5"/>
      <c r="J259" s="19"/>
      <c r="K259" s="19"/>
      <c r="L259" s="19"/>
      <c r="O259" s="20"/>
      <c r="P259" s="20"/>
      <c r="Q259" s="19"/>
      <c r="S259" s="19"/>
      <c r="T259" s="19"/>
      <c r="U259" s="19"/>
      <c r="V259" s="19"/>
      <c r="W259" s="19"/>
      <c r="X259" s="19"/>
    </row>
    <row r="260" ht="15.75" customHeight="1">
      <c r="D260" s="19"/>
      <c r="E260" s="19"/>
      <c r="F260" s="19"/>
      <c r="H260" s="19"/>
      <c r="I260" s="5"/>
      <c r="J260" s="19"/>
      <c r="K260" s="19"/>
      <c r="L260" s="19"/>
      <c r="O260" s="20"/>
      <c r="P260" s="20"/>
      <c r="Q260" s="19"/>
      <c r="S260" s="19"/>
      <c r="T260" s="19"/>
      <c r="U260" s="19"/>
      <c r="V260" s="19"/>
      <c r="W260" s="19"/>
      <c r="X260" s="19"/>
    </row>
    <row r="261" ht="15.75" customHeight="1">
      <c r="D261" s="19"/>
      <c r="E261" s="19"/>
      <c r="F261" s="19"/>
      <c r="H261" s="19"/>
      <c r="I261" s="5"/>
      <c r="J261" s="19"/>
      <c r="K261" s="19"/>
      <c r="L261" s="19"/>
      <c r="O261" s="20"/>
      <c r="P261" s="20"/>
      <c r="Q261" s="19"/>
      <c r="S261" s="19"/>
      <c r="T261" s="19"/>
      <c r="U261" s="19"/>
      <c r="V261" s="19"/>
      <c r="W261" s="19"/>
      <c r="X261" s="19"/>
    </row>
    <row r="262" ht="15.75" customHeight="1">
      <c r="D262" s="19"/>
      <c r="E262" s="19"/>
      <c r="F262" s="19"/>
      <c r="H262" s="19"/>
      <c r="I262" s="5"/>
      <c r="J262" s="19"/>
      <c r="K262" s="19"/>
      <c r="L262" s="19"/>
      <c r="O262" s="20"/>
      <c r="P262" s="20"/>
      <c r="Q262" s="19"/>
      <c r="S262" s="19"/>
      <c r="T262" s="19"/>
      <c r="U262" s="19"/>
      <c r="V262" s="19"/>
      <c r="W262" s="19"/>
      <c r="X262" s="19"/>
    </row>
    <row r="263" ht="15.75" customHeight="1">
      <c r="D263" s="19"/>
      <c r="E263" s="19"/>
      <c r="F263" s="19"/>
      <c r="H263" s="19"/>
      <c r="I263" s="5"/>
      <c r="J263" s="19"/>
      <c r="K263" s="19"/>
      <c r="L263" s="19"/>
      <c r="O263" s="20"/>
      <c r="P263" s="20"/>
      <c r="Q263" s="19"/>
      <c r="S263" s="19"/>
      <c r="T263" s="19"/>
      <c r="U263" s="19"/>
      <c r="V263" s="19"/>
      <c r="W263" s="19"/>
      <c r="X263" s="19"/>
    </row>
    <row r="264" ht="15.75" customHeight="1">
      <c r="D264" s="19"/>
      <c r="E264" s="19"/>
      <c r="F264" s="19"/>
      <c r="H264" s="19"/>
      <c r="I264" s="5"/>
      <c r="J264" s="19"/>
      <c r="K264" s="19"/>
      <c r="L264" s="19"/>
      <c r="O264" s="20"/>
      <c r="P264" s="20"/>
      <c r="Q264" s="19"/>
      <c r="S264" s="19"/>
      <c r="T264" s="19"/>
      <c r="U264" s="19"/>
      <c r="V264" s="19"/>
      <c r="W264" s="19"/>
      <c r="X264" s="19"/>
    </row>
    <row r="265" ht="15.75" customHeight="1">
      <c r="D265" s="19"/>
      <c r="E265" s="19"/>
      <c r="F265" s="19"/>
      <c r="H265" s="19"/>
      <c r="I265" s="5"/>
      <c r="J265" s="19"/>
      <c r="K265" s="19"/>
      <c r="L265" s="19"/>
      <c r="O265" s="20"/>
      <c r="P265" s="20"/>
      <c r="Q265" s="19"/>
      <c r="S265" s="19"/>
      <c r="T265" s="19"/>
      <c r="U265" s="19"/>
      <c r="V265" s="19"/>
      <c r="W265" s="19"/>
      <c r="X265" s="19"/>
    </row>
    <row r="266" ht="15.75" customHeight="1">
      <c r="D266" s="19"/>
      <c r="E266" s="19"/>
      <c r="F266" s="19"/>
      <c r="H266" s="19"/>
      <c r="I266" s="5"/>
      <c r="J266" s="19"/>
      <c r="K266" s="19"/>
      <c r="L266" s="19"/>
      <c r="O266" s="20"/>
      <c r="P266" s="20"/>
      <c r="Q266" s="19"/>
      <c r="S266" s="19"/>
      <c r="T266" s="19"/>
      <c r="U266" s="19"/>
      <c r="V266" s="19"/>
      <c r="W266" s="19"/>
      <c r="X266" s="19"/>
    </row>
    <row r="267" ht="15.75" customHeight="1">
      <c r="D267" s="19"/>
      <c r="E267" s="19"/>
      <c r="F267" s="19"/>
      <c r="H267" s="19"/>
      <c r="I267" s="5"/>
      <c r="J267" s="19"/>
      <c r="K267" s="19"/>
      <c r="L267" s="19"/>
      <c r="O267" s="20"/>
      <c r="P267" s="20"/>
      <c r="Q267" s="19"/>
      <c r="S267" s="19"/>
      <c r="T267" s="19"/>
      <c r="U267" s="19"/>
      <c r="V267" s="19"/>
      <c r="W267" s="19"/>
      <c r="X267" s="19"/>
    </row>
    <row r="268" ht="15.75" customHeight="1">
      <c r="D268" s="19"/>
      <c r="E268" s="19"/>
      <c r="F268" s="19"/>
      <c r="H268" s="19"/>
      <c r="I268" s="5"/>
      <c r="J268" s="19"/>
      <c r="K268" s="19"/>
      <c r="L268" s="19"/>
      <c r="O268" s="20"/>
      <c r="P268" s="20"/>
      <c r="Q268" s="19"/>
      <c r="S268" s="19"/>
      <c r="T268" s="19"/>
      <c r="U268" s="19"/>
      <c r="V268" s="19"/>
      <c r="W268" s="19"/>
      <c r="X268" s="19"/>
    </row>
    <row r="269" ht="15.75" customHeight="1">
      <c r="D269" s="19"/>
      <c r="E269" s="19"/>
      <c r="F269" s="19"/>
      <c r="H269" s="19"/>
      <c r="I269" s="5"/>
      <c r="J269" s="19"/>
      <c r="K269" s="19"/>
      <c r="L269" s="19"/>
      <c r="O269" s="20"/>
      <c r="P269" s="20"/>
      <c r="Q269" s="19"/>
      <c r="S269" s="19"/>
      <c r="T269" s="19"/>
      <c r="U269" s="19"/>
      <c r="V269" s="19"/>
      <c r="W269" s="19"/>
      <c r="X269" s="19"/>
    </row>
    <row r="270" ht="15.75" customHeight="1">
      <c r="D270" s="19"/>
      <c r="E270" s="19"/>
      <c r="F270" s="19"/>
      <c r="H270" s="19"/>
      <c r="I270" s="5"/>
      <c r="J270" s="19"/>
      <c r="K270" s="19"/>
      <c r="L270" s="19"/>
      <c r="O270" s="20"/>
      <c r="P270" s="20"/>
      <c r="Q270" s="19"/>
      <c r="S270" s="19"/>
      <c r="T270" s="19"/>
      <c r="U270" s="19"/>
      <c r="V270" s="19"/>
      <c r="W270" s="19"/>
      <c r="X270" s="19"/>
    </row>
    <row r="271" ht="15.75" customHeight="1">
      <c r="D271" s="19"/>
      <c r="E271" s="19"/>
      <c r="F271" s="19"/>
      <c r="H271" s="19"/>
      <c r="I271" s="5"/>
      <c r="J271" s="19"/>
      <c r="K271" s="19"/>
      <c r="L271" s="19"/>
      <c r="O271" s="20"/>
      <c r="P271" s="20"/>
      <c r="Q271" s="19"/>
      <c r="S271" s="19"/>
      <c r="T271" s="19"/>
      <c r="U271" s="19"/>
      <c r="V271" s="19"/>
      <c r="W271" s="19"/>
      <c r="X271" s="19"/>
    </row>
    <row r="272" ht="15.75" customHeight="1">
      <c r="D272" s="19"/>
      <c r="E272" s="19"/>
      <c r="F272" s="19"/>
      <c r="H272" s="19"/>
      <c r="I272" s="5"/>
      <c r="J272" s="19"/>
      <c r="K272" s="19"/>
      <c r="L272" s="19"/>
      <c r="O272" s="20"/>
      <c r="P272" s="20"/>
      <c r="Q272" s="19"/>
      <c r="S272" s="19"/>
      <c r="T272" s="19"/>
      <c r="U272" s="19"/>
      <c r="V272" s="19"/>
      <c r="W272" s="19"/>
      <c r="X272" s="19"/>
    </row>
    <row r="273" ht="15.75" customHeight="1">
      <c r="D273" s="19"/>
      <c r="E273" s="19"/>
      <c r="F273" s="19"/>
      <c r="H273" s="19"/>
      <c r="I273" s="5"/>
      <c r="J273" s="19"/>
      <c r="K273" s="19"/>
      <c r="L273" s="19"/>
      <c r="O273" s="20"/>
      <c r="P273" s="20"/>
      <c r="Q273" s="19"/>
      <c r="S273" s="19"/>
      <c r="T273" s="19"/>
      <c r="U273" s="19"/>
      <c r="V273" s="19"/>
      <c r="W273" s="19"/>
      <c r="X273" s="19"/>
    </row>
    <row r="274" ht="15.75" customHeight="1">
      <c r="D274" s="19"/>
      <c r="E274" s="19"/>
      <c r="F274" s="19"/>
      <c r="H274" s="19"/>
      <c r="I274" s="5"/>
      <c r="J274" s="19"/>
      <c r="K274" s="19"/>
      <c r="L274" s="19"/>
      <c r="O274" s="20"/>
      <c r="P274" s="20"/>
      <c r="Q274" s="19"/>
      <c r="S274" s="19"/>
      <c r="T274" s="19"/>
      <c r="U274" s="19"/>
      <c r="V274" s="19"/>
      <c r="W274" s="19"/>
      <c r="X274" s="19"/>
    </row>
    <row r="275" ht="15.75" customHeight="1">
      <c r="D275" s="19"/>
      <c r="E275" s="19"/>
      <c r="F275" s="19"/>
      <c r="H275" s="19"/>
      <c r="I275" s="5"/>
      <c r="J275" s="19"/>
      <c r="K275" s="19"/>
      <c r="L275" s="19"/>
      <c r="O275" s="20"/>
      <c r="P275" s="20"/>
      <c r="Q275" s="19"/>
      <c r="S275" s="19"/>
      <c r="T275" s="19"/>
      <c r="U275" s="19"/>
      <c r="V275" s="19"/>
      <c r="W275" s="19"/>
      <c r="X275" s="19"/>
    </row>
    <row r="276" ht="15.75" customHeight="1">
      <c r="D276" s="19"/>
      <c r="E276" s="19"/>
      <c r="F276" s="19"/>
      <c r="H276" s="19"/>
      <c r="I276" s="5"/>
      <c r="J276" s="19"/>
      <c r="K276" s="19"/>
      <c r="L276" s="19"/>
      <c r="O276" s="20"/>
      <c r="P276" s="20"/>
      <c r="Q276" s="19"/>
      <c r="S276" s="19"/>
      <c r="T276" s="19"/>
      <c r="U276" s="19"/>
      <c r="V276" s="19"/>
      <c r="W276" s="19"/>
      <c r="X276" s="19"/>
    </row>
    <row r="277" ht="15.75" customHeight="1">
      <c r="D277" s="19"/>
      <c r="E277" s="19"/>
      <c r="F277" s="19"/>
      <c r="H277" s="19"/>
      <c r="I277" s="5"/>
      <c r="J277" s="19"/>
      <c r="K277" s="19"/>
      <c r="L277" s="19"/>
      <c r="O277" s="20"/>
      <c r="P277" s="20"/>
      <c r="Q277" s="19"/>
      <c r="S277" s="19"/>
      <c r="T277" s="19"/>
      <c r="U277" s="19"/>
      <c r="V277" s="19"/>
      <c r="W277" s="19"/>
      <c r="X277" s="19"/>
    </row>
    <row r="278" ht="15.75" customHeight="1">
      <c r="D278" s="19"/>
      <c r="E278" s="19"/>
      <c r="F278" s="19"/>
      <c r="H278" s="19"/>
      <c r="I278" s="5"/>
      <c r="J278" s="19"/>
      <c r="K278" s="19"/>
      <c r="L278" s="19"/>
      <c r="O278" s="20"/>
      <c r="P278" s="20"/>
      <c r="Q278" s="19"/>
      <c r="S278" s="19"/>
      <c r="T278" s="19"/>
      <c r="U278" s="19"/>
      <c r="V278" s="19"/>
      <c r="W278" s="19"/>
      <c r="X278" s="19"/>
    </row>
    <row r="279" ht="15.75" customHeight="1">
      <c r="D279" s="19"/>
      <c r="E279" s="19"/>
      <c r="F279" s="19"/>
      <c r="H279" s="19"/>
      <c r="I279" s="5"/>
      <c r="J279" s="19"/>
      <c r="K279" s="19"/>
      <c r="L279" s="19"/>
      <c r="O279" s="20"/>
      <c r="P279" s="20"/>
      <c r="Q279" s="19"/>
      <c r="S279" s="19"/>
      <c r="T279" s="19"/>
      <c r="U279" s="19"/>
      <c r="V279" s="19"/>
      <c r="W279" s="19"/>
      <c r="X279" s="19"/>
    </row>
    <row r="280" ht="15.75" customHeight="1">
      <c r="D280" s="19"/>
      <c r="E280" s="19"/>
      <c r="F280" s="19"/>
      <c r="H280" s="19"/>
      <c r="I280" s="5"/>
      <c r="J280" s="19"/>
      <c r="K280" s="19"/>
      <c r="L280" s="19"/>
      <c r="O280" s="20"/>
      <c r="P280" s="20"/>
      <c r="Q280" s="19"/>
      <c r="S280" s="19"/>
      <c r="T280" s="19"/>
      <c r="U280" s="19"/>
      <c r="V280" s="19"/>
      <c r="W280" s="19"/>
      <c r="X280" s="19"/>
    </row>
    <row r="281" ht="15.75" customHeight="1">
      <c r="D281" s="19"/>
      <c r="E281" s="19"/>
      <c r="F281" s="19"/>
      <c r="H281" s="19"/>
      <c r="I281" s="5"/>
      <c r="J281" s="19"/>
      <c r="K281" s="19"/>
      <c r="L281" s="19"/>
      <c r="O281" s="20"/>
      <c r="P281" s="20"/>
      <c r="Q281" s="19"/>
      <c r="S281" s="19"/>
      <c r="T281" s="19"/>
      <c r="U281" s="19"/>
      <c r="V281" s="19"/>
      <c r="W281" s="19"/>
      <c r="X281" s="19"/>
    </row>
    <row r="282" ht="15.75" customHeight="1">
      <c r="D282" s="19"/>
      <c r="E282" s="19"/>
      <c r="F282" s="19"/>
      <c r="H282" s="19"/>
      <c r="I282" s="5"/>
      <c r="J282" s="19"/>
      <c r="K282" s="19"/>
      <c r="L282" s="19"/>
      <c r="O282" s="20"/>
      <c r="P282" s="20"/>
      <c r="Q282" s="19"/>
      <c r="S282" s="19"/>
      <c r="T282" s="19"/>
      <c r="U282" s="19"/>
      <c r="V282" s="19"/>
      <c r="W282" s="19"/>
      <c r="X282" s="19"/>
    </row>
    <row r="283" ht="15.75" customHeight="1">
      <c r="D283" s="19"/>
      <c r="E283" s="19"/>
      <c r="F283" s="19"/>
      <c r="H283" s="19"/>
      <c r="I283" s="5"/>
      <c r="J283" s="19"/>
      <c r="K283" s="19"/>
      <c r="L283" s="19"/>
      <c r="O283" s="20"/>
      <c r="P283" s="20"/>
      <c r="Q283" s="19"/>
      <c r="S283" s="19"/>
      <c r="T283" s="19"/>
      <c r="U283" s="19"/>
      <c r="V283" s="19"/>
      <c r="W283" s="19"/>
      <c r="X283" s="19"/>
    </row>
    <row r="284" ht="15.75" customHeight="1">
      <c r="D284" s="19"/>
      <c r="E284" s="19"/>
      <c r="F284" s="19"/>
      <c r="H284" s="19"/>
      <c r="I284" s="5"/>
      <c r="J284" s="19"/>
      <c r="K284" s="19"/>
      <c r="L284" s="19"/>
      <c r="O284" s="20"/>
      <c r="P284" s="20"/>
      <c r="Q284" s="19"/>
      <c r="S284" s="19"/>
      <c r="T284" s="19"/>
      <c r="U284" s="19"/>
      <c r="V284" s="19"/>
      <c r="W284" s="19"/>
      <c r="X284" s="19"/>
    </row>
    <row r="285" ht="15.75" customHeight="1">
      <c r="D285" s="19"/>
      <c r="E285" s="19"/>
      <c r="F285" s="19"/>
      <c r="H285" s="19"/>
      <c r="I285" s="5"/>
      <c r="J285" s="19"/>
      <c r="K285" s="19"/>
      <c r="L285" s="19"/>
      <c r="O285" s="20"/>
      <c r="P285" s="20"/>
      <c r="Q285" s="19"/>
      <c r="S285" s="19"/>
      <c r="T285" s="19"/>
      <c r="U285" s="19"/>
      <c r="V285" s="19"/>
      <c r="W285" s="19"/>
      <c r="X285" s="19"/>
    </row>
    <row r="286" ht="15.75" customHeight="1">
      <c r="D286" s="19"/>
      <c r="E286" s="19"/>
      <c r="F286" s="19"/>
      <c r="H286" s="19"/>
      <c r="I286" s="5"/>
      <c r="J286" s="19"/>
      <c r="K286" s="19"/>
      <c r="L286" s="19"/>
      <c r="O286" s="20"/>
      <c r="P286" s="20"/>
      <c r="Q286" s="19"/>
      <c r="S286" s="19"/>
      <c r="T286" s="19"/>
      <c r="U286" s="19"/>
      <c r="V286" s="19"/>
      <c r="W286" s="19"/>
      <c r="X286" s="19"/>
    </row>
    <row r="287" ht="15.75" customHeight="1">
      <c r="D287" s="19"/>
      <c r="E287" s="19"/>
      <c r="F287" s="19"/>
      <c r="H287" s="19"/>
      <c r="I287" s="5"/>
      <c r="J287" s="19"/>
      <c r="K287" s="19"/>
      <c r="L287" s="19"/>
      <c r="O287" s="20"/>
      <c r="P287" s="20"/>
      <c r="Q287" s="19"/>
      <c r="S287" s="19"/>
      <c r="T287" s="19"/>
      <c r="U287" s="19"/>
      <c r="V287" s="19"/>
      <c r="W287" s="19"/>
      <c r="X287" s="19"/>
    </row>
    <row r="288" ht="15.75" customHeight="1">
      <c r="D288" s="19"/>
      <c r="E288" s="19"/>
      <c r="F288" s="19"/>
      <c r="H288" s="19"/>
      <c r="I288" s="5"/>
      <c r="J288" s="19"/>
      <c r="K288" s="19"/>
      <c r="L288" s="19"/>
      <c r="O288" s="20"/>
      <c r="P288" s="20"/>
      <c r="Q288" s="19"/>
      <c r="S288" s="19"/>
      <c r="T288" s="19"/>
      <c r="U288" s="19"/>
      <c r="V288" s="19"/>
      <c r="W288" s="19"/>
      <c r="X288" s="19"/>
    </row>
    <row r="289" ht="15.75" customHeight="1">
      <c r="D289" s="19"/>
      <c r="E289" s="19"/>
      <c r="F289" s="19"/>
      <c r="H289" s="19"/>
      <c r="I289" s="5"/>
      <c r="J289" s="19"/>
      <c r="K289" s="19"/>
      <c r="L289" s="19"/>
      <c r="O289" s="20"/>
      <c r="P289" s="20"/>
      <c r="Q289" s="19"/>
      <c r="S289" s="19"/>
      <c r="T289" s="19"/>
      <c r="U289" s="19"/>
      <c r="V289" s="19"/>
      <c r="W289" s="19"/>
      <c r="X289" s="19"/>
    </row>
    <row r="290" ht="15.75" customHeight="1">
      <c r="D290" s="19"/>
      <c r="E290" s="19"/>
      <c r="F290" s="19"/>
      <c r="H290" s="19"/>
      <c r="I290" s="5"/>
      <c r="J290" s="19"/>
      <c r="K290" s="19"/>
      <c r="L290" s="19"/>
      <c r="O290" s="20"/>
      <c r="P290" s="20"/>
      <c r="Q290" s="19"/>
      <c r="S290" s="19"/>
      <c r="T290" s="19"/>
      <c r="U290" s="19"/>
      <c r="V290" s="19"/>
      <c r="W290" s="19"/>
      <c r="X290" s="19"/>
    </row>
    <row r="291" ht="15.75" customHeight="1">
      <c r="D291" s="19"/>
      <c r="E291" s="19"/>
      <c r="F291" s="19"/>
      <c r="H291" s="19"/>
      <c r="I291" s="5"/>
      <c r="J291" s="19"/>
      <c r="K291" s="19"/>
      <c r="L291" s="19"/>
      <c r="O291" s="20"/>
      <c r="P291" s="20"/>
      <c r="Q291" s="19"/>
      <c r="S291" s="19"/>
      <c r="T291" s="19"/>
      <c r="U291" s="19"/>
      <c r="V291" s="19"/>
      <c r="W291" s="19"/>
      <c r="X291" s="19"/>
    </row>
    <row r="292" ht="15.75" customHeight="1">
      <c r="D292" s="19"/>
      <c r="E292" s="19"/>
      <c r="F292" s="19"/>
      <c r="H292" s="19"/>
      <c r="I292" s="5"/>
      <c r="J292" s="19"/>
      <c r="K292" s="19"/>
      <c r="L292" s="19"/>
      <c r="O292" s="20"/>
      <c r="P292" s="20"/>
      <c r="Q292" s="19"/>
      <c r="S292" s="19"/>
      <c r="T292" s="19"/>
      <c r="U292" s="19"/>
      <c r="V292" s="19"/>
      <c r="W292" s="19"/>
      <c r="X292" s="19"/>
    </row>
    <row r="293" ht="15.75" customHeight="1">
      <c r="D293" s="19"/>
      <c r="E293" s="19"/>
      <c r="F293" s="19"/>
      <c r="H293" s="19"/>
      <c r="I293" s="5"/>
      <c r="J293" s="19"/>
      <c r="K293" s="19"/>
      <c r="L293" s="19"/>
      <c r="O293" s="20"/>
      <c r="P293" s="20"/>
      <c r="Q293" s="19"/>
      <c r="S293" s="19"/>
      <c r="T293" s="19"/>
      <c r="U293" s="19"/>
      <c r="V293" s="19"/>
      <c r="W293" s="19"/>
      <c r="X293" s="19"/>
    </row>
    <row r="294" ht="15.75" customHeight="1">
      <c r="D294" s="19"/>
      <c r="E294" s="19"/>
      <c r="F294" s="19"/>
      <c r="H294" s="19"/>
      <c r="I294" s="5"/>
      <c r="J294" s="19"/>
      <c r="K294" s="19"/>
      <c r="L294" s="19"/>
      <c r="O294" s="20"/>
      <c r="P294" s="20"/>
      <c r="Q294" s="19"/>
      <c r="S294" s="19"/>
      <c r="T294" s="19"/>
      <c r="U294" s="19"/>
      <c r="V294" s="19"/>
      <c r="W294" s="19"/>
      <c r="X294" s="19"/>
    </row>
    <row r="295" ht="15.75" customHeight="1">
      <c r="D295" s="19"/>
      <c r="E295" s="19"/>
      <c r="F295" s="19"/>
      <c r="H295" s="19"/>
      <c r="I295" s="5"/>
      <c r="J295" s="19"/>
      <c r="K295" s="19"/>
      <c r="L295" s="19"/>
      <c r="O295" s="20"/>
      <c r="P295" s="20"/>
      <c r="Q295" s="19"/>
      <c r="S295" s="19"/>
      <c r="T295" s="19"/>
      <c r="U295" s="19"/>
      <c r="V295" s="19"/>
      <c r="W295" s="19"/>
      <c r="X295" s="19"/>
    </row>
    <row r="296" ht="15.75" customHeight="1">
      <c r="D296" s="19"/>
      <c r="E296" s="19"/>
      <c r="F296" s="19"/>
      <c r="H296" s="19"/>
      <c r="I296" s="5"/>
      <c r="J296" s="19"/>
      <c r="K296" s="19"/>
      <c r="L296" s="19"/>
      <c r="O296" s="20"/>
      <c r="P296" s="20"/>
      <c r="Q296" s="19"/>
      <c r="S296" s="19"/>
      <c r="T296" s="19"/>
      <c r="U296" s="19"/>
      <c r="V296" s="19"/>
      <c r="W296" s="19"/>
      <c r="X296" s="19"/>
    </row>
    <row r="297" ht="15.75" customHeight="1">
      <c r="D297" s="19"/>
      <c r="E297" s="19"/>
      <c r="F297" s="19"/>
      <c r="H297" s="19"/>
      <c r="I297" s="5"/>
      <c r="J297" s="19"/>
      <c r="K297" s="19"/>
      <c r="L297" s="19"/>
      <c r="O297" s="20"/>
      <c r="P297" s="20"/>
      <c r="Q297" s="19"/>
      <c r="S297" s="19"/>
      <c r="T297" s="19"/>
      <c r="U297" s="19"/>
      <c r="V297" s="19"/>
      <c r="W297" s="19"/>
      <c r="X297" s="19"/>
    </row>
    <row r="298" ht="15.75" customHeight="1">
      <c r="D298" s="19"/>
      <c r="E298" s="19"/>
      <c r="F298" s="19"/>
      <c r="H298" s="19"/>
      <c r="I298" s="5"/>
      <c r="J298" s="19"/>
      <c r="K298" s="19"/>
      <c r="L298" s="19"/>
      <c r="O298" s="20"/>
      <c r="P298" s="20"/>
      <c r="Q298" s="19"/>
      <c r="S298" s="19"/>
      <c r="T298" s="19"/>
      <c r="U298" s="19"/>
      <c r="V298" s="19"/>
      <c r="W298" s="19"/>
      <c r="X298" s="19"/>
    </row>
    <row r="299" ht="15.75" customHeight="1">
      <c r="D299" s="19"/>
      <c r="E299" s="19"/>
      <c r="F299" s="19"/>
      <c r="H299" s="19"/>
      <c r="I299" s="5"/>
      <c r="J299" s="19"/>
      <c r="K299" s="19"/>
      <c r="L299" s="19"/>
      <c r="O299" s="20"/>
      <c r="P299" s="20"/>
      <c r="Q299" s="19"/>
      <c r="S299" s="19"/>
      <c r="T299" s="19"/>
      <c r="U299" s="19"/>
      <c r="V299" s="19"/>
      <c r="W299" s="19"/>
      <c r="X299" s="19"/>
    </row>
    <row r="300" ht="15.75" customHeight="1">
      <c r="D300" s="19"/>
      <c r="E300" s="19"/>
      <c r="F300" s="19"/>
      <c r="H300" s="19"/>
      <c r="I300" s="5"/>
      <c r="J300" s="19"/>
      <c r="K300" s="19"/>
      <c r="L300" s="19"/>
      <c r="O300" s="20"/>
      <c r="P300" s="20"/>
      <c r="Q300" s="19"/>
      <c r="S300" s="19"/>
      <c r="T300" s="19"/>
      <c r="U300" s="19"/>
      <c r="V300" s="19"/>
      <c r="W300" s="19"/>
      <c r="X300" s="19"/>
    </row>
    <row r="301" ht="15.75" customHeight="1">
      <c r="D301" s="19"/>
      <c r="E301" s="19"/>
      <c r="F301" s="19"/>
      <c r="H301" s="19"/>
      <c r="I301" s="5"/>
      <c r="J301" s="19"/>
      <c r="K301" s="19"/>
      <c r="L301" s="19"/>
      <c r="O301" s="20"/>
      <c r="P301" s="20"/>
      <c r="Q301" s="19"/>
      <c r="S301" s="19"/>
      <c r="T301" s="19"/>
      <c r="U301" s="19"/>
      <c r="V301" s="19"/>
      <c r="W301" s="19"/>
      <c r="X301" s="19"/>
    </row>
    <row r="302" ht="15.75" customHeight="1">
      <c r="D302" s="19"/>
      <c r="E302" s="19"/>
      <c r="F302" s="19"/>
      <c r="H302" s="19"/>
      <c r="I302" s="5"/>
      <c r="J302" s="19"/>
      <c r="K302" s="19"/>
      <c r="L302" s="19"/>
      <c r="O302" s="20"/>
      <c r="P302" s="20"/>
      <c r="Q302" s="19"/>
      <c r="S302" s="19"/>
      <c r="T302" s="19"/>
      <c r="U302" s="19"/>
      <c r="V302" s="19"/>
      <c r="W302" s="19"/>
      <c r="X302" s="19"/>
    </row>
    <row r="303" ht="15.75" customHeight="1">
      <c r="D303" s="19"/>
      <c r="E303" s="19"/>
      <c r="F303" s="19"/>
      <c r="H303" s="19"/>
      <c r="I303" s="5"/>
      <c r="J303" s="19"/>
      <c r="K303" s="19"/>
      <c r="L303" s="19"/>
      <c r="O303" s="20"/>
      <c r="P303" s="20"/>
      <c r="Q303" s="19"/>
      <c r="S303" s="19"/>
      <c r="T303" s="19"/>
      <c r="U303" s="19"/>
      <c r="V303" s="19"/>
      <c r="W303" s="19"/>
      <c r="X303" s="19"/>
    </row>
    <row r="304" ht="15.75" customHeight="1">
      <c r="D304" s="19"/>
      <c r="E304" s="19"/>
      <c r="F304" s="19"/>
      <c r="H304" s="19"/>
      <c r="I304" s="5"/>
      <c r="J304" s="19"/>
      <c r="K304" s="19"/>
      <c r="L304" s="19"/>
      <c r="O304" s="20"/>
      <c r="P304" s="20"/>
      <c r="Q304" s="19"/>
      <c r="S304" s="19"/>
      <c r="T304" s="19"/>
      <c r="U304" s="19"/>
      <c r="V304" s="19"/>
      <c r="W304" s="19"/>
      <c r="X304" s="19"/>
    </row>
    <row r="305" ht="15.75" customHeight="1">
      <c r="D305" s="19"/>
      <c r="E305" s="19"/>
      <c r="F305" s="19"/>
      <c r="H305" s="19"/>
      <c r="I305" s="5"/>
      <c r="J305" s="19"/>
      <c r="K305" s="19"/>
      <c r="L305" s="19"/>
      <c r="O305" s="20"/>
      <c r="P305" s="20"/>
      <c r="Q305" s="19"/>
      <c r="S305" s="19"/>
      <c r="T305" s="19"/>
      <c r="U305" s="19"/>
      <c r="V305" s="19"/>
      <c r="W305" s="19"/>
      <c r="X305" s="19"/>
    </row>
    <row r="306" ht="15.75" customHeight="1">
      <c r="D306" s="19"/>
      <c r="E306" s="19"/>
      <c r="F306" s="19"/>
      <c r="H306" s="19"/>
      <c r="I306" s="5"/>
      <c r="J306" s="19"/>
      <c r="K306" s="19"/>
      <c r="L306" s="19"/>
      <c r="O306" s="20"/>
      <c r="P306" s="20"/>
      <c r="Q306" s="19"/>
      <c r="S306" s="19"/>
      <c r="T306" s="19"/>
      <c r="U306" s="19"/>
      <c r="V306" s="19"/>
      <c r="W306" s="19"/>
      <c r="X306" s="19"/>
    </row>
    <row r="307" ht="15.75" customHeight="1">
      <c r="D307" s="19"/>
      <c r="E307" s="19"/>
      <c r="F307" s="19"/>
      <c r="H307" s="19"/>
      <c r="I307" s="5"/>
      <c r="J307" s="19"/>
      <c r="K307" s="19"/>
      <c r="L307" s="19"/>
      <c r="O307" s="20"/>
      <c r="P307" s="20"/>
      <c r="Q307" s="19"/>
      <c r="S307" s="19"/>
      <c r="T307" s="19"/>
      <c r="U307" s="19"/>
      <c r="V307" s="19"/>
      <c r="W307" s="19"/>
      <c r="X307" s="19"/>
    </row>
    <row r="308" ht="15.75" customHeight="1">
      <c r="D308" s="19"/>
      <c r="E308" s="19"/>
      <c r="F308" s="19"/>
      <c r="H308" s="19"/>
      <c r="I308" s="5"/>
      <c r="J308" s="19"/>
      <c r="K308" s="19"/>
      <c r="L308" s="19"/>
      <c r="O308" s="20"/>
      <c r="P308" s="20"/>
      <c r="Q308" s="19"/>
      <c r="S308" s="19"/>
      <c r="T308" s="19"/>
      <c r="U308" s="19"/>
      <c r="V308" s="19"/>
      <c r="W308" s="19"/>
      <c r="X308" s="19"/>
    </row>
    <row r="309" ht="15.75" customHeight="1">
      <c r="D309" s="19"/>
      <c r="E309" s="19"/>
      <c r="F309" s="19"/>
      <c r="H309" s="19"/>
      <c r="I309" s="5"/>
      <c r="J309" s="19"/>
      <c r="K309" s="19"/>
      <c r="L309" s="19"/>
      <c r="O309" s="20"/>
      <c r="P309" s="20"/>
      <c r="Q309" s="19"/>
      <c r="S309" s="19"/>
      <c r="T309" s="19"/>
      <c r="U309" s="19"/>
      <c r="V309" s="19"/>
      <c r="W309" s="19"/>
      <c r="X309" s="19"/>
    </row>
    <row r="310" ht="15.75" customHeight="1">
      <c r="D310" s="19"/>
      <c r="E310" s="19"/>
      <c r="F310" s="19"/>
      <c r="H310" s="19"/>
      <c r="I310" s="5"/>
      <c r="J310" s="19"/>
      <c r="K310" s="19"/>
      <c r="L310" s="19"/>
      <c r="O310" s="20"/>
      <c r="P310" s="20"/>
      <c r="Q310" s="19"/>
      <c r="S310" s="19"/>
      <c r="T310" s="19"/>
      <c r="U310" s="19"/>
      <c r="V310" s="19"/>
      <c r="W310" s="19"/>
      <c r="X310" s="19"/>
    </row>
    <row r="311" ht="15.75" customHeight="1">
      <c r="D311" s="19"/>
      <c r="E311" s="19"/>
      <c r="F311" s="19"/>
      <c r="H311" s="19"/>
      <c r="I311" s="5"/>
      <c r="J311" s="19"/>
      <c r="K311" s="19"/>
      <c r="L311" s="19"/>
      <c r="O311" s="20"/>
      <c r="P311" s="20"/>
      <c r="Q311" s="19"/>
      <c r="S311" s="19"/>
      <c r="T311" s="19"/>
      <c r="U311" s="19"/>
      <c r="V311" s="19"/>
      <c r="W311" s="19"/>
      <c r="X311" s="19"/>
    </row>
    <row r="312" ht="15.75" customHeight="1">
      <c r="D312" s="19"/>
      <c r="E312" s="19"/>
      <c r="F312" s="19"/>
      <c r="H312" s="19"/>
      <c r="I312" s="5"/>
      <c r="J312" s="19"/>
      <c r="K312" s="19"/>
      <c r="L312" s="19"/>
      <c r="O312" s="20"/>
      <c r="P312" s="20"/>
      <c r="Q312" s="19"/>
      <c r="S312" s="19"/>
      <c r="T312" s="19"/>
      <c r="U312" s="19"/>
      <c r="V312" s="19"/>
      <c r="W312" s="19"/>
      <c r="X312" s="19"/>
    </row>
    <row r="313" ht="15.75" customHeight="1">
      <c r="D313" s="19"/>
      <c r="E313" s="19"/>
      <c r="F313" s="19"/>
      <c r="H313" s="19"/>
      <c r="I313" s="5"/>
      <c r="J313" s="19"/>
      <c r="K313" s="19"/>
      <c r="L313" s="19"/>
      <c r="O313" s="20"/>
      <c r="P313" s="20"/>
      <c r="Q313" s="19"/>
      <c r="S313" s="19"/>
      <c r="T313" s="19"/>
      <c r="U313" s="19"/>
      <c r="V313" s="19"/>
      <c r="W313" s="19"/>
      <c r="X313" s="19"/>
    </row>
    <row r="314" ht="15.75" customHeight="1">
      <c r="D314" s="19"/>
      <c r="E314" s="19"/>
      <c r="F314" s="19"/>
      <c r="H314" s="19"/>
      <c r="I314" s="5"/>
      <c r="J314" s="19"/>
      <c r="K314" s="19"/>
      <c r="L314" s="19"/>
      <c r="O314" s="20"/>
      <c r="P314" s="20"/>
      <c r="Q314" s="19"/>
      <c r="S314" s="19"/>
      <c r="T314" s="19"/>
      <c r="U314" s="19"/>
      <c r="V314" s="19"/>
      <c r="W314" s="19"/>
      <c r="X314" s="19"/>
    </row>
    <row r="315" ht="15.75" customHeight="1">
      <c r="D315" s="19"/>
      <c r="E315" s="19"/>
      <c r="F315" s="19"/>
      <c r="H315" s="19"/>
      <c r="I315" s="5"/>
      <c r="J315" s="19"/>
      <c r="K315" s="19"/>
      <c r="L315" s="19"/>
      <c r="O315" s="20"/>
      <c r="P315" s="20"/>
      <c r="Q315" s="19"/>
      <c r="S315" s="19"/>
      <c r="T315" s="19"/>
      <c r="U315" s="19"/>
      <c r="V315" s="19"/>
      <c r="W315" s="19"/>
      <c r="X315" s="19"/>
    </row>
    <row r="316" ht="15.75" customHeight="1">
      <c r="D316" s="19"/>
      <c r="E316" s="19"/>
      <c r="F316" s="19"/>
      <c r="H316" s="19"/>
      <c r="I316" s="5"/>
      <c r="J316" s="19"/>
      <c r="K316" s="19"/>
      <c r="L316" s="19"/>
      <c r="O316" s="20"/>
      <c r="P316" s="20"/>
      <c r="Q316" s="19"/>
      <c r="S316" s="19"/>
      <c r="T316" s="19"/>
      <c r="U316" s="19"/>
      <c r="V316" s="19"/>
      <c r="W316" s="19"/>
      <c r="X316" s="19"/>
    </row>
    <row r="317" ht="15.75" customHeight="1">
      <c r="D317" s="19"/>
      <c r="E317" s="19"/>
      <c r="F317" s="19"/>
      <c r="H317" s="19"/>
      <c r="I317" s="5"/>
      <c r="J317" s="19"/>
      <c r="K317" s="19"/>
      <c r="L317" s="19"/>
      <c r="O317" s="20"/>
      <c r="P317" s="20"/>
      <c r="Q317" s="19"/>
      <c r="S317" s="19"/>
      <c r="T317" s="19"/>
      <c r="U317" s="19"/>
      <c r="V317" s="19"/>
      <c r="W317" s="19"/>
      <c r="X317" s="19"/>
    </row>
    <row r="318" ht="15.75" customHeight="1">
      <c r="D318" s="19"/>
      <c r="E318" s="19"/>
      <c r="F318" s="19"/>
      <c r="H318" s="19"/>
      <c r="I318" s="5"/>
      <c r="J318" s="19"/>
      <c r="K318" s="19"/>
      <c r="L318" s="19"/>
      <c r="O318" s="20"/>
      <c r="P318" s="20"/>
      <c r="Q318" s="19"/>
      <c r="S318" s="19"/>
      <c r="T318" s="19"/>
      <c r="U318" s="19"/>
      <c r="V318" s="19"/>
      <c r="W318" s="19"/>
      <c r="X318" s="19"/>
    </row>
    <row r="319" ht="15.75" customHeight="1">
      <c r="D319" s="19"/>
      <c r="E319" s="19"/>
      <c r="F319" s="19"/>
      <c r="H319" s="19"/>
      <c r="I319" s="5"/>
      <c r="J319" s="19"/>
      <c r="K319" s="19"/>
      <c r="L319" s="19"/>
      <c r="O319" s="20"/>
      <c r="P319" s="20"/>
      <c r="Q319" s="19"/>
      <c r="S319" s="19"/>
      <c r="T319" s="19"/>
      <c r="U319" s="19"/>
      <c r="V319" s="19"/>
      <c r="W319" s="19"/>
      <c r="X319" s="19"/>
    </row>
    <row r="320" ht="15.75" customHeight="1">
      <c r="D320" s="19"/>
      <c r="E320" s="19"/>
      <c r="F320" s="19"/>
      <c r="H320" s="19"/>
      <c r="I320" s="5"/>
      <c r="J320" s="19"/>
      <c r="K320" s="19"/>
      <c r="L320" s="19"/>
      <c r="O320" s="20"/>
      <c r="P320" s="20"/>
      <c r="Q320" s="19"/>
      <c r="S320" s="19"/>
      <c r="T320" s="19"/>
      <c r="U320" s="19"/>
      <c r="V320" s="19"/>
      <c r="W320" s="19"/>
      <c r="X320" s="19"/>
    </row>
    <row r="321" ht="15.75" customHeight="1">
      <c r="D321" s="19"/>
      <c r="E321" s="19"/>
      <c r="F321" s="19"/>
      <c r="H321" s="19"/>
      <c r="I321" s="5"/>
      <c r="J321" s="19"/>
      <c r="K321" s="19"/>
      <c r="L321" s="19"/>
      <c r="O321" s="20"/>
      <c r="P321" s="20"/>
      <c r="Q321" s="19"/>
      <c r="S321" s="19"/>
      <c r="T321" s="19"/>
      <c r="U321" s="19"/>
      <c r="V321" s="19"/>
      <c r="W321" s="19"/>
      <c r="X321" s="19"/>
    </row>
    <row r="322" ht="15.75" customHeight="1">
      <c r="D322" s="19"/>
      <c r="E322" s="19"/>
      <c r="F322" s="19"/>
      <c r="H322" s="19"/>
      <c r="I322" s="5"/>
      <c r="J322" s="19"/>
      <c r="K322" s="19"/>
      <c r="L322" s="19"/>
      <c r="O322" s="20"/>
      <c r="P322" s="20"/>
      <c r="Q322" s="19"/>
      <c r="S322" s="19"/>
      <c r="T322" s="19"/>
      <c r="U322" s="19"/>
      <c r="V322" s="19"/>
      <c r="W322" s="19"/>
      <c r="X322" s="19"/>
    </row>
    <row r="323" ht="15.75" customHeight="1">
      <c r="D323" s="19"/>
      <c r="E323" s="19"/>
      <c r="F323" s="19"/>
      <c r="H323" s="19"/>
      <c r="I323" s="5"/>
      <c r="J323" s="19"/>
      <c r="K323" s="19"/>
      <c r="L323" s="19"/>
      <c r="O323" s="20"/>
      <c r="P323" s="20"/>
      <c r="Q323" s="19"/>
      <c r="S323" s="19"/>
      <c r="T323" s="19"/>
      <c r="U323" s="19"/>
      <c r="V323" s="19"/>
      <c r="W323" s="19"/>
      <c r="X323" s="19"/>
    </row>
    <row r="324" ht="15.75" customHeight="1">
      <c r="D324" s="19"/>
      <c r="E324" s="19"/>
      <c r="F324" s="19"/>
      <c r="H324" s="19"/>
      <c r="I324" s="5"/>
      <c r="J324" s="19"/>
      <c r="K324" s="19"/>
      <c r="L324" s="19"/>
      <c r="O324" s="20"/>
      <c r="P324" s="20"/>
      <c r="Q324" s="19"/>
      <c r="S324" s="19"/>
      <c r="T324" s="19"/>
      <c r="U324" s="19"/>
      <c r="V324" s="19"/>
      <c r="W324" s="19"/>
      <c r="X324" s="19"/>
    </row>
    <row r="325" ht="15.75" customHeight="1">
      <c r="D325" s="19"/>
      <c r="E325" s="19"/>
      <c r="F325" s="19"/>
      <c r="H325" s="19"/>
      <c r="I325" s="5"/>
      <c r="J325" s="19"/>
      <c r="K325" s="19"/>
      <c r="L325" s="19"/>
      <c r="O325" s="20"/>
      <c r="P325" s="20"/>
      <c r="Q325" s="19"/>
      <c r="S325" s="19"/>
      <c r="T325" s="19"/>
      <c r="U325" s="19"/>
      <c r="V325" s="19"/>
      <c r="W325" s="19"/>
      <c r="X325" s="19"/>
    </row>
    <row r="326" ht="15.75" customHeight="1">
      <c r="D326" s="19"/>
      <c r="E326" s="19"/>
      <c r="F326" s="19"/>
      <c r="H326" s="19"/>
      <c r="I326" s="5"/>
      <c r="J326" s="19"/>
      <c r="K326" s="19"/>
      <c r="L326" s="19"/>
      <c r="O326" s="20"/>
      <c r="P326" s="20"/>
      <c r="Q326" s="19"/>
      <c r="S326" s="19"/>
      <c r="T326" s="19"/>
      <c r="U326" s="19"/>
      <c r="V326" s="19"/>
      <c r="W326" s="19"/>
      <c r="X326" s="19"/>
    </row>
    <row r="327" ht="15.75" customHeight="1">
      <c r="D327" s="19"/>
      <c r="E327" s="19"/>
      <c r="F327" s="19"/>
      <c r="H327" s="19"/>
      <c r="I327" s="5"/>
      <c r="J327" s="19"/>
      <c r="K327" s="19"/>
      <c r="L327" s="19"/>
      <c r="O327" s="20"/>
      <c r="P327" s="20"/>
      <c r="Q327" s="19"/>
      <c r="S327" s="19"/>
      <c r="T327" s="19"/>
      <c r="U327" s="19"/>
      <c r="V327" s="19"/>
      <c r="W327" s="19"/>
      <c r="X327" s="19"/>
    </row>
    <row r="328" ht="15.75" customHeight="1">
      <c r="D328" s="19"/>
      <c r="E328" s="19"/>
      <c r="F328" s="19"/>
      <c r="H328" s="19"/>
      <c r="I328" s="5"/>
      <c r="J328" s="19"/>
      <c r="K328" s="19"/>
      <c r="L328" s="19"/>
      <c r="O328" s="20"/>
      <c r="P328" s="20"/>
      <c r="Q328" s="19"/>
      <c r="S328" s="19"/>
      <c r="T328" s="19"/>
      <c r="U328" s="19"/>
      <c r="V328" s="19"/>
      <c r="W328" s="19"/>
      <c r="X328" s="19"/>
    </row>
    <row r="329" ht="15.75" customHeight="1">
      <c r="D329" s="19"/>
      <c r="E329" s="19"/>
      <c r="F329" s="19"/>
      <c r="H329" s="19"/>
      <c r="I329" s="5"/>
      <c r="J329" s="19"/>
      <c r="K329" s="19"/>
      <c r="L329" s="19"/>
      <c r="O329" s="20"/>
      <c r="P329" s="20"/>
      <c r="Q329" s="19"/>
      <c r="S329" s="19"/>
      <c r="T329" s="19"/>
      <c r="U329" s="19"/>
      <c r="V329" s="19"/>
      <c r="W329" s="19"/>
      <c r="X329" s="19"/>
    </row>
    <row r="330" ht="15.75" customHeight="1">
      <c r="D330" s="19"/>
      <c r="E330" s="19"/>
      <c r="F330" s="19"/>
      <c r="H330" s="19"/>
      <c r="I330" s="5"/>
      <c r="J330" s="19"/>
      <c r="K330" s="19"/>
      <c r="L330" s="19"/>
      <c r="O330" s="20"/>
      <c r="P330" s="20"/>
      <c r="Q330" s="19"/>
      <c r="S330" s="19"/>
      <c r="T330" s="19"/>
      <c r="U330" s="19"/>
      <c r="V330" s="19"/>
      <c r="W330" s="19"/>
      <c r="X330" s="19"/>
    </row>
    <row r="331" ht="15.75" customHeight="1">
      <c r="D331" s="19"/>
      <c r="E331" s="19"/>
      <c r="F331" s="19"/>
      <c r="H331" s="19"/>
      <c r="I331" s="5"/>
      <c r="J331" s="19"/>
      <c r="K331" s="19"/>
      <c r="L331" s="19"/>
      <c r="O331" s="20"/>
      <c r="P331" s="20"/>
      <c r="Q331" s="19"/>
      <c r="S331" s="19"/>
      <c r="T331" s="19"/>
      <c r="U331" s="19"/>
      <c r="V331" s="19"/>
      <c r="W331" s="19"/>
      <c r="X331" s="19"/>
    </row>
    <row r="332" ht="15.75" customHeight="1">
      <c r="D332" s="19"/>
      <c r="E332" s="19"/>
      <c r="F332" s="19"/>
      <c r="H332" s="19"/>
      <c r="I332" s="5"/>
      <c r="J332" s="19"/>
      <c r="K332" s="19"/>
      <c r="L332" s="19"/>
      <c r="O332" s="20"/>
      <c r="P332" s="20"/>
      <c r="Q332" s="19"/>
      <c r="S332" s="19"/>
      <c r="T332" s="19"/>
      <c r="U332" s="19"/>
      <c r="V332" s="19"/>
      <c r="W332" s="19"/>
      <c r="X332" s="19"/>
    </row>
    <row r="333" ht="15.75" customHeight="1">
      <c r="D333" s="19"/>
      <c r="E333" s="19"/>
      <c r="F333" s="19"/>
      <c r="H333" s="19"/>
      <c r="I333" s="5"/>
      <c r="J333" s="19"/>
      <c r="K333" s="19"/>
      <c r="L333" s="19"/>
      <c r="O333" s="20"/>
      <c r="P333" s="20"/>
      <c r="Q333" s="19"/>
      <c r="S333" s="19"/>
      <c r="T333" s="19"/>
      <c r="U333" s="19"/>
      <c r="V333" s="19"/>
      <c r="W333" s="19"/>
      <c r="X333" s="19"/>
    </row>
    <row r="334" ht="15.75" customHeight="1">
      <c r="D334" s="19"/>
      <c r="E334" s="19"/>
      <c r="F334" s="19"/>
      <c r="H334" s="19"/>
      <c r="I334" s="5"/>
      <c r="J334" s="19"/>
      <c r="K334" s="19"/>
      <c r="L334" s="19"/>
      <c r="O334" s="20"/>
      <c r="P334" s="20"/>
      <c r="Q334" s="19"/>
      <c r="S334" s="19"/>
      <c r="T334" s="19"/>
      <c r="U334" s="19"/>
      <c r="V334" s="19"/>
      <c r="W334" s="19"/>
      <c r="X334" s="19"/>
    </row>
    <row r="335" ht="15.75" customHeight="1">
      <c r="D335" s="19"/>
      <c r="E335" s="19"/>
      <c r="F335" s="19"/>
      <c r="H335" s="19"/>
      <c r="I335" s="5"/>
      <c r="J335" s="19"/>
      <c r="K335" s="19"/>
      <c r="L335" s="19"/>
      <c r="O335" s="20"/>
      <c r="P335" s="20"/>
      <c r="Q335" s="19"/>
      <c r="S335" s="19"/>
      <c r="T335" s="19"/>
      <c r="U335" s="19"/>
      <c r="V335" s="19"/>
      <c r="W335" s="19"/>
      <c r="X335" s="19"/>
    </row>
    <row r="336" ht="15.75" customHeight="1">
      <c r="D336" s="19"/>
      <c r="E336" s="19"/>
      <c r="F336" s="19"/>
      <c r="H336" s="19"/>
      <c r="I336" s="5"/>
      <c r="J336" s="19"/>
      <c r="K336" s="19"/>
      <c r="L336" s="19"/>
      <c r="O336" s="20"/>
      <c r="P336" s="20"/>
      <c r="Q336" s="19"/>
      <c r="S336" s="19"/>
      <c r="T336" s="19"/>
      <c r="U336" s="19"/>
      <c r="V336" s="19"/>
      <c r="W336" s="19"/>
      <c r="X336" s="19"/>
    </row>
    <row r="337" ht="15.75" customHeight="1">
      <c r="D337" s="19"/>
      <c r="E337" s="19"/>
      <c r="F337" s="19"/>
      <c r="H337" s="19"/>
      <c r="I337" s="5"/>
      <c r="J337" s="19"/>
      <c r="K337" s="19"/>
      <c r="L337" s="19"/>
      <c r="O337" s="20"/>
      <c r="P337" s="20"/>
      <c r="Q337" s="19"/>
      <c r="S337" s="19"/>
      <c r="T337" s="19"/>
      <c r="U337" s="19"/>
      <c r="V337" s="19"/>
      <c r="W337" s="19"/>
      <c r="X337" s="19"/>
    </row>
    <row r="338" ht="15.75" customHeight="1">
      <c r="D338" s="19"/>
      <c r="E338" s="19"/>
      <c r="F338" s="19"/>
      <c r="H338" s="19"/>
      <c r="I338" s="5"/>
      <c r="J338" s="19"/>
      <c r="K338" s="19"/>
      <c r="L338" s="19"/>
      <c r="O338" s="20"/>
      <c r="P338" s="20"/>
      <c r="Q338" s="19"/>
      <c r="S338" s="19"/>
      <c r="T338" s="19"/>
      <c r="U338" s="19"/>
      <c r="V338" s="19"/>
      <c r="W338" s="19"/>
      <c r="X338" s="19"/>
    </row>
    <row r="339" ht="15.75" customHeight="1">
      <c r="D339" s="19"/>
      <c r="E339" s="19"/>
      <c r="F339" s="19"/>
      <c r="H339" s="19"/>
      <c r="I339" s="5"/>
      <c r="J339" s="19"/>
      <c r="K339" s="19"/>
      <c r="L339" s="19"/>
      <c r="O339" s="20"/>
      <c r="P339" s="20"/>
      <c r="Q339" s="19"/>
      <c r="S339" s="19"/>
      <c r="T339" s="19"/>
      <c r="U339" s="19"/>
      <c r="V339" s="19"/>
      <c r="W339" s="19"/>
      <c r="X339" s="19"/>
    </row>
    <row r="340" ht="15.75" customHeight="1">
      <c r="D340" s="19"/>
      <c r="E340" s="19"/>
      <c r="F340" s="19"/>
      <c r="H340" s="19"/>
      <c r="I340" s="5"/>
      <c r="J340" s="19"/>
      <c r="K340" s="19"/>
      <c r="L340" s="19"/>
      <c r="O340" s="20"/>
      <c r="P340" s="20"/>
      <c r="Q340" s="19"/>
      <c r="S340" s="19"/>
      <c r="T340" s="19"/>
      <c r="U340" s="19"/>
      <c r="V340" s="19"/>
      <c r="W340" s="19"/>
      <c r="X340" s="19"/>
    </row>
    <row r="341" ht="15.75" customHeight="1">
      <c r="D341" s="19"/>
      <c r="E341" s="19"/>
      <c r="F341" s="19"/>
      <c r="H341" s="19"/>
      <c r="I341" s="5"/>
      <c r="J341" s="19"/>
      <c r="K341" s="19"/>
      <c r="L341" s="19"/>
      <c r="O341" s="20"/>
      <c r="P341" s="20"/>
      <c r="Q341" s="19"/>
      <c r="S341" s="19"/>
      <c r="T341" s="19"/>
      <c r="U341" s="19"/>
      <c r="V341" s="19"/>
      <c r="W341" s="19"/>
      <c r="X341" s="19"/>
    </row>
    <row r="342" ht="15.75" customHeight="1">
      <c r="D342" s="19"/>
      <c r="E342" s="19"/>
      <c r="F342" s="19"/>
      <c r="H342" s="19"/>
      <c r="I342" s="5"/>
      <c r="J342" s="19"/>
      <c r="K342" s="19"/>
      <c r="L342" s="19"/>
      <c r="O342" s="20"/>
      <c r="P342" s="20"/>
      <c r="Q342" s="19"/>
      <c r="S342" s="19"/>
      <c r="T342" s="19"/>
      <c r="U342" s="19"/>
      <c r="V342" s="19"/>
      <c r="W342" s="19"/>
      <c r="X342" s="19"/>
    </row>
    <row r="343" ht="15.75" customHeight="1">
      <c r="D343" s="19"/>
      <c r="E343" s="19"/>
      <c r="F343" s="19"/>
      <c r="H343" s="19"/>
      <c r="I343" s="5"/>
      <c r="J343" s="19"/>
      <c r="K343" s="19"/>
      <c r="L343" s="19"/>
      <c r="O343" s="20"/>
      <c r="P343" s="20"/>
      <c r="Q343" s="19"/>
      <c r="S343" s="19"/>
      <c r="T343" s="19"/>
      <c r="U343" s="19"/>
      <c r="V343" s="19"/>
      <c r="W343" s="19"/>
      <c r="X343" s="19"/>
    </row>
    <row r="344" ht="15.75" customHeight="1">
      <c r="D344" s="19"/>
      <c r="E344" s="19"/>
      <c r="F344" s="19"/>
      <c r="H344" s="19"/>
      <c r="I344" s="5"/>
      <c r="J344" s="19"/>
      <c r="K344" s="19"/>
      <c r="L344" s="19"/>
      <c r="O344" s="20"/>
      <c r="P344" s="20"/>
      <c r="Q344" s="19"/>
      <c r="S344" s="19"/>
      <c r="T344" s="19"/>
      <c r="U344" s="19"/>
      <c r="V344" s="19"/>
      <c r="W344" s="19"/>
      <c r="X344" s="19"/>
    </row>
    <row r="345" ht="15.75" customHeight="1">
      <c r="D345" s="19"/>
      <c r="E345" s="19"/>
      <c r="F345" s="19"/>
      <c r="H345" s="19"/>
      <c r="I345" s="5"/>
      <c r="J345" s="19"/>
      <c r="K345" s="19"/>
      <c r="L345" s="19"/>
      <c r="O345" s="20"/>
      <c r="P345" s="20"/>
      <c r="Q345" s="19"/>
      <c r="S345" s="19"/>
      <c r="T345" s="19"/>
      <c r="U345" s="19"/>
      <c r="V345" s="19"/>
      <c r="W345" s="19"/>
      <c r="X345" s="19"/>
    </row>
    <row r="346" ht="15.75" customHeight="1">
      <c r="D346" s="19"/>
      <c r="E346" s="19"/>
      <c r="F346" s="19"/>
      <c r="H346" s="19"/>
      <c r="I346" s="5"/>
      <c r="J346" s="19"/>
      <c r="K346" s="19"/>
      <c r="L346" s="19"/>
      <c r="O346" s="20"/>
      <c r="P346" s="20"/>
      <c r="Q346" s="19"/>
      <c r="S346" s="19"/>
      <c r="T346" s="19"/>
      <c r="U346" s="19"/>
      <c r="V346" s="19"/>
      <c r="W346" s="19"/>
      <c r="X346" s="19"/>
    </row>
    <row r="347" ht="15.75" customHeight="1">
      <c r="D347" s="19"/>
      <c r="E347" s="19"/>
      <c r="F347" s="19"/>
      <c r="H347" s="19"/>
      <c r="I347" s="5"/>
      <c r="J347" s="19"/>
      <c r="K347" s="19"/>
      <c r="L347" s="19"/>
      <c r="O347" s="20"/>
      <c r="P347" s="20"/>
      <c r="Q347" s="19"/>
      <c r="S347" s="19"/>
      <c r="T347" s="19"/>
      <c r="U347" s="19"/>
      <c r="V347" s="19"/>
      <c r="W347" s="19"/>
      <c r="X347" s="19"/>
    </row>
    <row r="348" ht="15.75" customHeight="1">
      <c r="D348" s="19"/>
      <c r="E348" s="19"/>
      <c r="F348" s="19"/>
      <c r="H348" s="19"/>
      <c r="I348" s="5"/>
      <c r="J348" s="19"/>
      <c r="K348" s="19"/>
      <c r="L348" s="19"/>
      <c r="O348" s="20"/>
      <c r="P348" s="20"/>
      <c r="Q348" s="19"/>
      <c r="S348" s="19"/>
      <c r="T348" s="19"/>
      <c r="U348" s="19"/>
      <c r="V348" s="19"/>
      <c r="W348" s="19"/>
      <c r="X348" s="19"/>
    </row>
    <row r="349" ht="15.75" customHeight="1">
      <c r="D349" s="19"/>
      <c r="E349" s="19"/>
      <c r="F349" s="19"/>
      <c r="H349" s="19"/>
      <c r="I349" s="5"/>
      <c r="J349" s="19"/>
      <c r="K349" s="19"/>
      <c r="L349" s="19"/>
      <c r="O349" s="20"/>
      <c r="P349" s="20"/>
      <c r="Q349" s="19"/>
      <c r="S349" s="19"/>
      <c r="T349" s="19"/>
      <c r="U349" s="19"/>
      <c r="V349" s="19"/>
      <c r="W349" s="19"/>
      <c r="X349" s="19"/>
    </row>
    <row r="350" ht="15.75" customHeight="1">
      <c r="D350" s="19"/>
      <c r="E350" s="19"/>
      <c r="F350" s="19"/>
      <c r="H350" s="19"/>
      <c r="I350" s="5"/>
      <c r="J350" s="19"/>
      <c r="K350" s="19"/>
      <c r="L350" s="19"/>
      <c r="O350" s="20"/>
      <c r="P350" s="20"/>
      <c r="Q350" s="19"/>
      <c r="S350" s="19"/>
      <c r="T350" s="19"/>
      <c r="U350" s="19"/>
      <c r="V350" s="19"/>
      <c r="W350" s="19"/>
      <c r="X350" s="19"/>
    </row>
    <row r="351" ht="15.75" customHeight="1">
      <c r="D351" s="19"/>
      <c r="E351" s="19"/>
      <c r="F351" s="19"/>
      <c r="H351" s="19"/>
      <c r="I351" s="5"/>
      <c r="J351" s="19"/>
      <c r="K351" s="19"/>
      <c r="L351" s="19"/>
      <c r="O351" s="20"/>
      <c r="P351" s="20"/>
      <c r="Q351" s="19"/>
      <c r="S351" s="19"/>
      <c r="T351" s="19"/>
      <c r="U351" s="19"/>
      <c r="V351" s="19"/>
      <c r="W351" s="19"/>
      <c r="X351" s="19"/>
    </row>
    <row r="352" ht="15.75" customHeight="1">
      <c r="D352" s="19"/>
      <c r="E352" s="19"/>
      <c r="F352" s="19"/>
      <c r="H352" s="19"/>
      <c r="I352" s="5"/>
      <c r="J352" s="19"/>
      <c r="K352" s="19"/>
      <c r="L352" s="19"/>
      <c r="O352" s="20"/>
      <c r="P352" s="20"/>
      <c r="Q352" s="19"/>
      <c r="S352" s="19"/>
      <c r="T352" s="19"/>
      <c r="U352" s="19"/>
      <c r="V352" s="19"/>
      <c r="W352" s="19"/>
      <c r="X352" s="19"/>
    </row>
    <row r="353" ht="15.75" customHeight="1">
      <c r="D353" s="19"/>
      <c r="E353" s="19"/>
      <c r="F353" s="19"/>
      <c r="H353" s="19"/>
      <c r="I353" s="5"/>
      <c r="J353" s="19"/>
      <c r="K353" s="19"/>
      <c r="L353" s="19"/>
      <c r="O353" s="20"/>
      <c r="P353" s="20"/>
      <c r="Q353" s="19"/>
      <c r="S353" s="19"/>
      <c r="T353" s="19"/>
      <c r="U353" s="19"/>
      <c r="V353" s="19"/>
      <c r="W353" s="19"/>
      <c r="X353" s="19"/>
    </row>
    <row r="354" ht="15.75" customHeight="1">
      <c r="D354" s="19"/>
      <c r="E354" s="19"/>
      <c r="F354" s="19"/>
      <c r="H354" s="19"/>
      <c r="I354" s="5"/>
      <c r="J354" s="19"/>
      <c r="K354" s="19"/>
      <c r="L354" s="19"/>
      <c r="O354" s="20"/>
      <c r="P354" s="20"/>
      <c r="Q354" s="19"/>
      <c r="S354" s="19"/>
      <c r="T354" s="19"/>
      <c r="U354" s="19"/>
      <c r="V354" s="19"/>
      <c r="W354" s="19"/>
      <c r="X354" s="19"/>
    </row>
    <row r="355" ht="15.75" customHeight="1">
      <c r="D355" s="19"/>
      <c r="E355" s="19"/>
      <c r="F355" s="19"/>
      <c r="H355" s="19"/>
      <c r="I355" s="5"/>
      <c r="J355" s="19"/>
      <c r="K355" s="19"/>
      <c r="L355" s="19"/>
      <c r="O355" s="20"/>
      <c r="P355" s="20"/>
      <c r="Q355" s="19"/>
      <c r="S355" s="19"/>
      <c r="T355" s="19"/>
      <c r="U355" s="19"/>
      <c r="V355" s="19"/>
      <c r="W355" s="19"/>
      <c r="X355" s="19"/>
    </row>
    <row r="356" ht="15.75" customHeight="1">
      <c r="D356" s="19"/>
      <c r="E356" s="19"/>
      <c r="F356" s="19"/>
      <c r="H356" s="19"/>
      <c r="I356" s="5"/>
      <c r="J356" s="19"/>
      <c r="K356" s="19"/>
      <c r="L356" s="19"/>
      <c r="O356" s="20"/>
      <c r="P356" s="20"/>
      <c r="Q356" s="19"/>
      <c r="S356" s="19"/>
      <c r="T356" s="19"/>
      <c r="U356" s="19"/>
      <c r="V356" s="19"/>
      <c r="W356" s="19"/>
      <c r="X356" s="19"/>
    </row>
    <row r="357" ht="15.75" customHeight="1">
      <c r="D357" s="19"/>
      <c r="E357" s="19"/>
      <c r="F357" s="19"/>
      <c r="H357" s="19"/>
      <c r="I357" s="5"/>
      <c r="J357" s="19"/>
      <c r="K357" s="19"/>
      <c r="L357" s="19"/>
      <c r="O357" s="20"/>
      <c r="P357" s="20"/>
      <c r="Q357" s="19"/>
      <c r="S357" s="19"/>
      <c r="T357" s="19"/>
      <c r="U357" s="19"/>
      <c r="V357" s="19"/>
      <c r="W357" s="19"/>
      <c r="X357" s="19"/>
    </row>
    <row r="358" ht="15.75" customHeight="1">
      <c r="D358" s="19"/>
      <c r="E358" s="19"/>
      <c r="F358" s="19"/>
      <c r="H358" s="19"/>
      <c r="I358" s="5"/>
      <c r="J358" s="19"/>
      <c r="K358" s="19"/>
      <c r="L358" s="19"/>
      <c r="O358" s="20"/>
      <c r="P358" s="20"/>
      <c r="Q358" s="19"/>
      <c r="S358" s="19"/>
      <c r="T358" s="19"/>
      <c r="U358" s="19"/>
      <c r="V358" s="19"/>
      <c r="W358" s="19"/>
      <c r="X358" s="19"/>
    </row>
    <row r="359" ht="15.75" customHeight="1">
      <c r="D359" s="19"/>
      <c r="E359" s="19"/>
      <c r="F359" s="19"/>
      <c r="H359" s="19"/>
      <c r="I359" s="5"/>
      <c r="J359" s="19"/>
      <c r="K359" s="19"/>
      <c r="L359" s="19"/>
      <c r="O359" s="20"/>
      <c r="P359" s="20"/>
      <c r="Q359" s="19"/>
      <c r="S359" s="19"/>
      <c r="T359" s="19"/>
      <c r="U359" s="19"/>
      <c r="V359" s="19"/>
      <c r="W359" s="19"/>
      <c r="X359" s="19"/>
    </row>
    <row r="360" ht="15.75" customHeight="1">
      <c r="D360" s="19"/>
      <c r="E360" s="19"/>
      <c r="F360" s="19"/>
      <c r="H360" s="19"/>
      <c r="I360" s="5"/>
      <c r="J360" s="19"/>
      <c r="K360" s="19"/>
      <c r="L360" s="19"/>
      <c r="O360" s="20"/>
      <c r="P360" s="20"/>
      <c r="Q360" s="19"/>
      <c r="S360" s="19"/>
      <c r="T360" s="19"/>
      <c r="U360" s="19"/>
      <c r="V360" s="19"/>
      <c r="W360" s="19"/>
      <c r="X360" s="19"/>
    </row>
    <row r="361" ht="15.75" customHeight="1">
      <c r="D361" s="19"/>
      <c r="E361" s="19"/>
      <c r="F361" s="19"/>
      <c r="H361" s="19"/>
      <c r="I361" s="5"/>
      <c r="J361" s="19"/>
      <c r="K361" s="19"/>
      <c r="L361" s="19"/>
      <c r="O361" s="20"/>
      <c r="P361" s="20"/>
      <c r="Q361" s="19"/>
      <c r="S361" s="19"/>
      <c r="T361" s="19"/>
      <c r="U361" s="19"/>
      <c r="V361" s="19"/>
      <c r="W361" s="19"/>
      <c r="X361" s="19"/>
    </row>
    <row r="362" ht="15.75" customHeight="1">
      <c r="D362" s="19"/>
      <c r="E362" s="19"/>
      <c r="F362" s="19"/>
      <c r="H362" s="19"/>
      <c r="I362" s="5"/>
      <c r="J362" s="19"/>
      <c r="K362" s="19"/>
      <c r="L362" s="19"/>
      <c r="O362" s="20"/>
      <c r="P362" s="20"/>
      <c r="Q362" s="19"/>
      <c r="S362" s="19"/>
      <c r="T362" s="19"/>
      <c r="U362" s="19"/>
      <c r="V362" s="19"/>
      <c r="W362" s="19"/>
      <c r="X362" s="19"/>
    </row>
    <row r="363" ht="15.75" customHeight="1">
      <c r="D363" s="19"/>
      <c r="E363" s="19"/>
      <c r="F363" s="19"/>
      <c r="H363" s="19"/>
      <c r="I363" s="5"/>
      <c r="J363" s="19"/>
      <c r="K363" s="19"/>
      <c r="L363" s="19"/>
      <c r="O363" s="20"/>
      <c r="P363" s="20"/>
      <c r="Q363" s="19"/>
      <c r="S363" s="19"/>
      <c r="T363" s="19"/>
      <c r="U363" s="19"/>
      <c r="V363" s="19"/>
      <c r="W363" s="19"/>
      <c r="X363" s="19"/>
    </row>
    <row r="364" ht="15.75" customHeight="1">
      <c r="D364" s="19"/>
      <c r="E364" s="19"/>
      <c r="F364" s="19"/>
      <c r="H364" s="19"/>
      <c r="I364" s="5"/>
      <c r="J364" s="19"/>
      <c r="K364" s="19"/>
      <c r="L364" s="19"/>
      <c r="O364" s="20"/>
      <c r="P364" s="20"/>
      <c r="Q364" s="19"/>
      <c r="S364" s="19"/>
      <c r="T364" s="19"/>
      <c r="U364" s="19"/>
      <c r="V364" s="19"/>
      <c r="W364" s="19"/>
      <c r="X364" s="19"/>
    </row>
    <row r="365" ht="15.75" customHeight="1">
      <c r="D365" s="19"/>
      <c r="E365" s="19"/>
      <c r="F365" s="19"/>
      <c r="H365" s="19"/>
      <c r="I365" s="5"/>
      <c r="J365" s="19"/>
      <c r="K365" s="19"/>
      <c r="L365" s="19"/>
      <c r="O365" s="20"/>
      <c r="P365" s="20"/>
      <c r="Q365" s="19"/>
      <c r="S365" s="19"/>
      <c r="T365" s="19"/>
      <c r="U365" s="19"/>
      <c r="V365" s="19"/>
      <c r="W365" s="19"/>
      <c r="X365" s="19"/>
    </row>
    <row r="366" ht="15.75" customHeight="1">
      <c r="D366" s="19"/>
      <c r="E366" s="19"/>
      <c r="F366" s="19"/>
      <c r="H366" s="19"/>
      <c r="I366" s="5"/>
      <c r="J366" s="19"/>
      <c r="K366" s="19"/>
      <c r="L366" s="19"/>
      <c r="O366" s="20"/>
      <c r="P366" s="20"/>
      <c r="Q366" s="19"/>
      <c r="S366" s="19"/>
      <c r="T366" s="19"/>
      <c r="U366" s="19"/>
      <c r="V366" s="19"/>
      <c r="W366" s="19"/>
      <c r="X366" s="19"/>
    </row>
    <row r="367" ht="15.75" customHeight="1">
      <c r="D367" s="19"/>
      <c r="E367" s="19"/>
      <c r="F367" s="19"/>
      <c r="H367" s="19"/>
      <c r="I367" s="5"/>
      <c r="J367" s="19"/>
      <c r="K367" s="19"/>
      <c r="L367" s="19"/>
      <c r="O367" s="20"/>
      <c r="P367" s="20"/>
      <c r="Q367" s="19"/>
      <c r="S367" s="19"/>
      <c r="T367" s="19"/>
      <c r="U367" s="19"/>
      <c r="V367" s="19"/>
      <c r="W367" s="19"/>
      <c r="X367" s="19"/>
    </row>
    <row r="368" ht="15.75" customHeight="1">
      <c r="D368" s="19"/>
      <c r="E368" s="19"/>
      <c r="F368" s="19"/>
      <c r="H368" s="19"/>
      <c r="I368" s="5"/>
      <c r="J368" s="19"/>
      <c r="K368" s="19"/>
      <c r="L368" s="19"/>
      <c r="O368" s="20"/>
      <c r="P368" s="20"/>
      <c r="Q368" s="19"/>
      <c r="S368" s="19"/>
      <c r="T368" s="19"/>
      <c r="U368" s="19"/>
      <c r="V368" s="19"/>
      <c r="W368" s="19"/>
      <c r="X368" s="19"/>
    </row>
    <row r="369" ht="15.75" customHeight="1">
      <c r="D369" s="19"/>
      <c r="E369" s="19"/>
      <c r="F369" s="19"/>
      <c r="H369" s="19"/>
      <c r="I369" s="5"/>
      <c r="J369" s="19"/>
      <c r="K369" s="19"/>
      <c r="L369" s="19"/>
      <c r="O369" s="20"/>
      <c r="P369" s="20"/>
      <c r="Q369" s="19"/>
      <c r="S369" s="19"/>
      <c r="T369" s="19"/>
      <c r="U369" s="19"/>
      <c r="V369" s="19"/>
      <c r="W369" s="19"/>
      <c r="X369" s="19"/>
    </row>
    <row r="370" ht="15.75" customHeight="1">
      <c r="D370" s="19"/>
      <c r="E370" s="19"/>
      <c r="F370" s="19"/>
      <c r="H370" s="19"/>
      <c r="I370" s="5"/>
      <c r="J370" s="19"/>
      <c r="K370" s="19"/>
      <c r="L370" s="19"/>
      <c r="O370" s="20"/>
      <c r="P370" s="20"/>
      <c r="Q370" s="19"/>
      <c r="S370" s="19"/>
      <c r="T370" s="19"/>
      <c r="U370" s="19"/>
      <c r="V370" s="19"/>
      <c r="W370" s="19"/>
      <c r="X370" s="19"/>
    </row>
    <row r="371" ht="15.75" customHeight="1">
      <c r="D371" s="19"/>
      <c r="E371" s="19"/>
      <c r="F371" s="19"/>
      <c r="H371" s="19"/>
      <c r="I371" s="5"/>
      <c r="J371" s="19"/>
      <c r="K371" s="19"/>
      <c r="L371" s="19"/>
      <c r="O371" s="20"/>
      <c r="P371" s="20"/>
      <c r="Q371" s="19"/>
      <c r="S371" s="19"/>
      <c r="T371" s="19"/>
      <c r="U371" s="19"/>
      <c r="V371" s="19"/>
      <c r="W371" s="19"/>
      <c r="X371" s="19"/>
    </row>
    <row r="372" ht="15.75" customHeight="1">
      <c r="D372" s="19"/>
      <c r="E372" s="19"/>
      <c r="F372" s="19"/>
      <c r="H372" s="19"/>
      <c r="I372" s="5"/>
      <c r="J372" s="19"/>
      <c r="K372" s="19"/>
      <c r="L372" s="19"/>
      <c r="O372" s="20"/>
      <c r="P372" s="20"/>
      <c r="Q372" s="19"/>
      <c r="S372" s="19"/>
      <c r="T372" s="19"/>
      <c r="U372" s="19"/>
      <c r="V372" s="19"/>
      <c r="W372" s="19"/>
      <c r="X372" s="19"/>
    </row>
    <row r="373" ht="15.75" customHeight="1">
      <c r="D373" s="19"/>
      <c r="E373" s="19"/>
      <c r="F373" s="19"/>
      <c r="H373" s="19"/>
      <c r="I373" s="5"/>
      <c r="J373" s="19"/>
      <c r="K373" s="19"/>
      <c r="L373" s="19"/>
      <c r="O373" s="20"/>
      <c r="P373" s="20"/>
      <c r="Q373" s="19"/>
      <c r="S373" s="19"/>
      <c r="T373" s="19"/>
      <c r="U373" s="19"/>
      <c r="V373" s="19"/>
      <c r="W373" s="19"/>
      <c r="X373" s="19"/>
    </row>
    <row r="374" ht="15.75" customHeight="1">
      <c r="D374" s="19"/>
      <c r="E374" s="19"/>
      <c r="F374" s="19"/>
      <c r="H374" s="19"/>
      <c r="I374" s="5"/>
      <c r="J374" s="19"/>
      <c r="K374" s="19"/>
      <c r="L374" s="19"/>
      <c r="O374" s="20"/>
      <c r="P374" s="20"/>
      <c r="Q374" s="19"/>
      <c r="S374" s="19"/>
      <c r="T374" s="19"/>
      <c r="U374" s="19"/>
      <c r="V374" s="19"/>
      <c r="W374" s="19"/>
      <c r="X374" s="19"/>
    </row>
    <row r="375" ht="15.75" customHeight="1">
      <c r="D375" s="19"/>
      <c r="E375" s="19"/>
      <c r="F375" s="19"/>
      <c r="H375" s="19"/>
      <c r="I375" s="5"/>
      <c r="J375" s="19"/>
      <c r="K375" s="19"/>
      <c r="L375" s="19"/>
      <c r="O375" s="20"/>
      <c r="P375" s="20"/>
      <c r="Q375" s="19"/>
      <c r="S375" s="19"/>
      <c r="T375" s="19"/>
      <c r="U375" s="19"/>
      <c r="V375" s="19"/>
      <c r="W375" s="19"/>
      <c r="X375" s="19"/>
    </row>
    <row r="376" ht="15.75" customHeight="1">
      <c r="D376" s="19"/>
      <c r="E376" s="19"/>
      <c r="F376" s="19"/>
      <c r="H376" s="19"/>
      <c r="I376" s="5"/>
      <c r="J376" s="19"/>
      <c r="K376" s="19"/>
      <c r="L376" s="19"/>
      <c r="O376" s="20"/>
      <c r="P376" s="20"/>
      <c r="Q376" s="19"/>
      <c r="S376" s="19"/>
      <c r="T376" s="19"/>
      <c r="U376" s="19"/>
      <c r="V376" s="19"/>
      <c r="W376" s="19"/>
      <c r="X376" s="19"/>
    </row>
    <row r="377" ht="15.75" customHeight="1">
      <c r="D377" s="19"/>
      <c r="E377" s="19"/>
      <c r="F377" s="19"/>
      <c r="H377" s="19"/>
      <c r="I377" s="5"/>
      <c r="J377" s="19"/>
      <c r="K377" s="19"/>
      <c r="L377" s="19"/>
      <c r="O377" s="20"/>
      <c r="P377" s="20"/>
      <c r="Q377" s="19"/>
      <c r="S377" s="19"/>
      <c r="T377" s="19"/>
      <c r="U377" s="19"/>
      <c r="V377" s="19"/>
      <c r="W377" s="19"/>
      <c r="X377" s="19"/>
    </row>
    <row r="378" ht="15.75" customHeight="1">
      <c r="D378" s="19"/>
      <c r="E378" s="19"/>
      <c r="F378" s="19"/>
      <c r="H378" s="19"/>
      <c r="I378" s="5"/>
      <c r="J378" s="19"/>
      <c r="K378" s="19"/>
      <c r="L378" s="19"/>
      <c r="O378" s="20"/>
      <c r="P378" s="20"/>
      <c r="Q378" s="19"/>
      <c r="S378" s="19"/>
      <c r="T378" s="19"/>
      <c r="U378" s="19"/>
      <c r="V378" s="19"/>
      <c r="W378" s="19"/>
      <c r="X378" s="19"/>
    </row>
    <row r="379" ht="15.75" customHeight="1">
      <c r="D379" s="19"/>
      <c r="E379" s="19"/>
      <c r="F379" s="19"/>
      <c r="H379" s="19"/>
      <c r="I379" s="5"/>
      <c r="J379" s="19"/>
      <c r="K379" s="19"/>
      <c r="L379" s="19"/>
      <c r="O379" s="20"/>
      <c r="P379" s="20"/>
      <c r="Q379" s="19"/>
      <c r="S379" s="19"/>
      <c r="T379" s="19"/>
      <c r="U379" s="19"/>
      <c r="V379" s="19"/>
      <c r="W379" s="19"/>
      <c r="X379" s="19"/>
    </row>
    <row r="380" ht="15.75" customHeight="1">
      <c r="D380" s="19"/>
      <c r="E380" s="19"/>
      <c r="F380" s="19"/>
      <c r="H380" s="19"/>
      <c r="I380" s="5"/>
      <c r="J380" s="19"/>
      <c r="K380" s="19"/>
      <c r="L380" s="19"/>
      <c r="O380" s="20"/>
      <c r="P380" s="20"/>
      <c r="Q380" s="19"/>
      <c r="S380" s="19"/>
      <c r="T380" s="19"/>
      <c r="U380" s="19"/>
      <c r="V380" s="19"/>
      <c r="W380" s="19"/>
      <c r="X380" s="19"/>
    </row>
    <row r="381" ht="15.75" customHeight="1">
      <c r="D381" s="19"/>
      <c r="E381" s="19"/>
      <c r="F381" s="19"/>
      <c r="H381" s="19"/>
      <c r="I381" s="5"/>
      <c r="J381" s="19"/>
      <c r="K381" s="19"/>
      <c r="L381" s="19"/>
      <c r="O381" s="20"/>
      <c r="P381" s="20"/>
      <c r="Q381" s="19"/>
      <c r="S381" s="19"/>
      <c r="T381" s="19"/>
      <c r="U381" s="19"/>
      <c r="V381" s="19"/>
      <c r="W381" s="19"/>
      <c r="X381" s="19"/>
    </row>
    <row r="382" ht="15.75" customHeight="1">
      <c r="D382" s="19"/>
      <c r="E382" s="19"/>
      <c r="F382" s="19"/>
      <c r="H382" s="19"/>
      <c r="I382" s="5"/>
      <c r="J382" s="19"/>
      <c r="K382" s="19"/>
      <c r="L382" s="19"/>
      <c r="O382" s="20"/>
      <c r="P382" s="20"/>
      <c r="Q382" s="19"/>
      <c r="S382" s="19"/>
      <c r="T382" s="19"/>
      <c r="U382" s="19"/>
      <c r="V382" s="19"/>
      <c r="W382" s="19"/>
      <c r="X382" s="19"/>
    </row>
    <row r="383" ht="15.75" customHeight="1">
      <c r="D383" s="19"/>
      <c r="E383" s="19"/>
      <c r="F383" s="19"/>
      <c r="H383" s="19"/>
      <c r="I383" s="5"/>
      <c r="J383" s="19"/>
      <c r="K383" s="19"/>
      <c r="L383" s="19"/>
      <c r="O383" s="20"/>
      <c r="P383" s="20"/>
      <c r="Q383" s="19"/>
      <c r="S383" s="19"/>
      <c r="T383" s="19"/>
      <c r="U383" s="19"/>
      <c r="V383" s="19"/>
      <c r="W383" s="19"/>
      <c r="X383" s="19"/>
    </row>
    <row r="384" ht="15.75" customHeight="1">
      <c r="D384" s="19"/>
      <c r="E384" s="19"/>
      <c r="F384" s="19"/>
      <c r="H384" s="19"/>
      <c r="I384" s="5"/>
      <c r="J384" s="19"/>
      <c r="K384" s="19"/>
      <c r="L384" s="19"/>
      <c r="O384" s="20"/>
      <c r="P384" s="20"/>
      <c r="Q384" s="19"/>
      <c r="S384" s="19"/>
      <c r="T384" s="19"/>
      <c r="U384" s="19"/>
      <c r="V384" s="19"/>
      <c r="W384" s="19"/>
      <c r="X384" s="19"/>
    </row>
    <row r="385" ht="15.75" customHeight="1">
      <c r="D385" s="19"/>
      <c r="E385" s="19"/>
      <c r="F385" s="19"/>
      <c r="H385" s="19"/>
      <c r="I385" s="5"/>
      <c r="J385" s="19"/>
      <c r="K385" s="19"/>
      <c r="L385" s="19"/>
      <c r="O385" s="20"/>
      <c r="P385" s="20"/>
      <c r="Q385" s="19"/>
      <c r="S385" s="19"/>
      <c r="T385" s="19"/>
      <c r="U385" s="19"/>
      <c r="V385" s="19"/>
      <c r="W385" s="19"/>
      <c r="X385" s="19"/>
    </row>
    <row r="386" ht="15.75" customHeight="1">
      <c r="D386" s="19"/>
      <c r="E386" s="19"/>
      <c r="F386" s="19"/>
      <c r="H386" s="19"/>
      <c r="I386" s="5"/>
      <c r="J386" s="19"/>
      <c r="K386" s="19"/>
      <c r="L386" s="19"/>
      <c r="O386" s="20"/>
      <c r="P386" s="20"/>
      <c r="Q386" s="19"/>
      <c r="S386" s="19"/>
      <c r="T386" s="19"/>
      <c r="U386" s="19"/>
      <c r="V386" s="19"/>
      <c r="W386" s="19"/>
      <c r="X386" s="19"/>
    </row>
    <row r="387" ht="15.75" customHeight="1">
      <c r="D387" s="19"/>
      <c r="E387" s="19"/>
      <c r="F387" s="19"/>
      <c r="H387" s="19"/>
      <c r="I387" s="5"/>
      <c r="J387" s="19"/>
      <c r="K387" s="19"/>
      <c r="L387" s="19"/>
      <c r="O387" s="20"/>
      <c r="P387" s="20"/>
      <c r="Q387" s="19"/>
      <c r="S387" s="19"/>
      <c r="T387" s="19"/>
      <c r="U387" s="19"/>
      <c r="V387" s="19"/>
      <c r="W387" s="19"/>
      <c r="X387" s="19"/>
    </row>
    <row r="388" ht="15.75" customHeight="1">
      <c r="D388" s="19"/>
      <c r="E388" s="19"/>
      <c r="F388" s="19"/>
      <c r="H388" s="19"/>
      <c r="I388" s="5"/>
      <c r="J388" s="19"/>
      <c r="K388" s="19"/>
      <c r="L388" s="19"/>
      <c r="O388" s="20"/>
      <c r="P388" s="20"/>
      <c r="Q388" s="19"/>
      <c r="S388" s="19"/>
      <c r="T388" s="19"/>
      <c r="U388" s="19"/>
      <c r="V388" s="19"/>
      <c r="W388" s="19"/>
      <c r="X388" s="19"/>
    </row>
    <row r="389" ht="15.75" customHeight="1">
      <c r="D389" s="19"/>
      <c r="E389" s="19"/>
      <c r="F389" s="19"/>
      <c r="H389" s="19"/>
      <c r="I389" s="5"/>
      <c r="J389" s="19"/>
      <c r="K389" s="19"/>
      <c r="L389" s="19"/>
      <c r="O389" s="20"/>
      <c r="P389" s="20"/>
      <c r="Q389" s="19"/>
      <c r="S389" s="19"/>
      <c r="T389" s="19"/>
      <c r="U389" s="19"/>
      <c r="V389" s="19"/>
      <c r="W389" s="19"/>
      <c r="X389" s="19"/>
    </row>
    <row r="390" ht="15.75" customHeight="1">
      <c r="D390" s="19"/>
      <c r="E390" s="19"/>
      <c r="F390" s="19"/>
      <c r="H390" s="19"/>
      <c r="I390" s="5"/>
      <c r="J390" s="19"/>
      <c r="K390" s="19"/>
      <c r="L390" s="19"/>
      <c r="O390" s="20"/>
      <c r="P390" s="20"/>
      <c r="Q390" s="19"/>
      <c r="S390" s="19"/>
      <c r="T390" s="19"/>
      <c r="U390" s="19"/>
      <c r="V390" s="19"/>
      <c r="W390" s="19"/>
      <c r="X390" s="19"/>
    </row>
    <row r="391" ht="15.75" customHeight="1">
      <c r="D391" s="19"/>
      <c r="E391" s="19"/>
      <c r="F391" s="19"/>
      <c r="H391" s="19"/>
      <c r="I391" s="5"/>
      <c r="J391" s="19"/>
      <c r="K391" s="19"/>
      <c r="L391" s="19"/>
      <c r="O391" s="20"/>
      <c r="P391" s="20"/>
      <c r="Q391" s="19"/>
      <c r="S391" s="19"/>
      <c r="T391" s="19"/>
      <c r="U391" s="19"/>
      <c r="V391" s="19"/>
      <c r="W391" s="19"/>
      <c r="X391" s="19"/>
    </row>
    <row r="392" ht="15.75" customHeight="1">
      <c r="D392" s="19"/>
      <c r="E392" s="19"/>
      <c r="F392" s="19"/>
      <c r="H392" s="19"/>
      <c r="I392" s="5"/>
      <c r="J392" s="19"/>
      <c r="K392" s="19"/>
      <c r="L392" s="19"/>
      <c r="O392" s="20"/>
      <c r="P392" s="20"/>
      <c r="Q392" s="19"/>
      <c r="S392" s="19"/>
      <c r="T392" s="19"/>
      <c r="U392" s="19"/>
      <c r="V392" s="19"/>
      <c r="W392" s="19"/>
      <c r="X392" s="19"/>
    </row>
    <row r="393" ht="15.75" customHeight="1">
      <c r="D393" s="19"/>
      <c r="E393" s="19"/>
      <c r="F393" s="19"/>
      <c r="H393" s="19"/>
      <c r="I393" s="5"/>
      <c r="J393" s="19"/>
      <c r="K393" s="19"/>
      <c r="L393" s="19"/>
      <c r="O393" s="20"/>
      <c r="P393" s="20"/>
      <c r="Q393" s="19"/>
      <c r="S393" s="19"/>
      <c r="T393" s="19"/>
      <c r="U393" s="19"/>
      <c r="V393" s="19"/>
      <c r="W393" s="19"/>
      <c r="X393" s="19"/>
    </row>
    <row r="394" ht="15.75" customHeight="1">
      <c r="D394" s="19"/>
      <c r="E394" s="19"/>
      <c r="F394" s="19"/>
      <c r="H394" s="19"/>
      <c r="I394" s="5"/>
      <c r="J394" s="19"/>
      <c r="K394" s="19"/>
      <c r="L394" s="19"/>
      <c r="O394" s="20"/>
      <c r="P394" s="20"/>
      <c r="Q394" s="19"/>
      <c r="S394" s="19"/>
      <c r="T394" s="19"/>
      <c r="U394" s="19"/>
      <c r="V394" s="19"/>
      <c r="W394" s="19"/>
      <c r="X394" s="19"/>
    </row>
    <row r="395" ht="15.75" customHeight="1">
      <c r="D395" s="19"/>
      <c r="E395" s="19"/>
      <c r="F395" s="19"/>
      <c r="H395" s="19"/>
      <c r="I395" s="5"/>
      <c r="J395" s="19"/>
      <c r="K395" s="19"/>
      <c r="L395" s="19"/>
      <c r="O395" s="20"/>
      <c r="P395" s="20"/>
      <c r="Q395" s="19"/>
      <c r="S395" s="19"/>
      <c r="T395" s="19"/>
      <c r="U395" s="19"/>
      <c r="V395" s="19"/>
      <c r="W395" s="19"/>
      <c r="X395" s="19"/>
    </row>
    <row r="396" ht="15.75" customHeight="1">
      <c r="D396" s="19"/>
      <c r="E396" s="19"/>
      <c r="F396" s="19"/>
      <c r="H396" s="19"/>
      <c r="I396" s="5"/>
      <c r="J396" s="19"/>
      <c r="K396" s="19"/>
      <c r="L396" s="19"/>
      <c r="O396" s="20"/>
      <c r="P396" s="20"/>
      <c r="Q396" s="19"/>
      <c r="S396" s="19"/>
      <c r="T396" s="19"/>
      <c r="U396" s="19"/>
      <c r="V396" s="19"/>
      <c r="W396" s="19"/>
      <c r="X396" s="19"/>
    </row>
    <row r="397" ht="15.75" customHeight="1">
      <c r="D397" s="19"/>
      <c r="E397" s="19"/>
      <c r="F397" s="19"/>
      <c r="H397" s="19"/>
      <c r="I397" s="5"/>
      <c r="J397" s="19"/>
      <c r="K397" s="19"/>
      <c r="L397" s="19"/>
      <c r="O397" s="20"/>
      <c r="P397" s="20"/>
      <c r="Q397" s="19"/>
      <c r="S397" s="19"/>
      <c r="T397" s="19"/>
      <c r="U397" s="19"/>
      <c r="V397" s="19"/>
      <c r="W397" s="19"/>
      <c r="X397" s="19"/>
    </row>
    <row r="398" ht="15.75" customHeight="1">
      <c r="D398" s="19"/>
      <c r="E398" s="19"/>
      <c r="F398" s="19"/>
      <c r="H398" s="19"/>
      <c r="I398" s="5"/>
      <c r="J398" s="19"/>
      <c r="K398" s="19"/>
      <c r="L398" s="19"/>
      <c r="O398" s="20"/>
      <c r="P398" s="20"/>
      <c r="Q398" s="19"/>
      <c r="S398" s="19"/>
      <c r="T398" s="19"/>
      <c r="U398" s="19"/>
      <c r="V398" s="19"/>
      <c r="W398" s="19"/>
      <c r="X398" s="19"/>
    </row>
    <row r="399" ht="15.75" customHeight="1">
      <c r="D399" s="19"/>
      <c r="E399" s="19"/>
      <c r="F399" s="19"/>
      <c r="H399" s="19"/>
      <c r="I399" s="5"/>
      <c r="J399" s="19"/>
      <c r="K399" s="19"/>
      <c r="L399" s="19"/>
      <c r="O399" s="20"/>
      <c r="P399" s="20"/>
      <c r="Q399" s="19"/>
      <c r="S399" s="19"/>
      <c r="T399" s="19"/>
      <c r="U399" s="19"/>
      <c r="V399" s="19"/>
      <c r="W399" s="19"/>
      <c r="X399" s="19"/>
    </row>
    <row r="400" ht="15.75" customHeight="1">
      <c r="D400" s="19"/>
      <c r="E400" s="19"/>
      <c r="F400" s="19"/>
      <c r="H400" s="19"/>
      <c r="I400" s="5"/>
      <c r="J400" s="19"/>
      <c r="K400" s="19"/>
      <c r="L400" s="19"/>
      <c r="O400" s="20"/>
      <c r="P400" s="20"/>
      <c r="Q400" s="19"/>
      <c r="S400" s="19"/>
      <c r="T400" s="19"/>
      <c r="U400" s="19"/>
      <c r="V400" s="19"/>
      <c r="W400" s="19"/>
      <c r="X400" s="19"/>
    </row>
    <row r="401" ht="15.75" customHeight="1">
      <c r="D401" s="19"/>
      <c r="E401" s="19"/>
      <c r="F401" s="19"/>
      <c r="H401" s="19"/>
      <c r="I401" s="5"/>
      <c r="J401" s="19"/>
      <c r="K401" s="19"/>
      <c r="L401" s="19"/>
      <c r="O401" s="20"/>
      <c r="P401" s="20"/>
      <c r="Q401" s="19"/>
      <c r="S401" s="19"/>
      <c r="T401" s="19"/>
      <c r="U401" s="19"/>
      <c r="V401" s="19"/>
      <c r="W401" s="19"/>
      <c r="X401" s="19"/>
    </row>
    <row r="402" ht="15.75" customHeight="1">
      <c r="D402" s="19"/>
      <c r="E402" s="19"/>
      <c r="F402" s="19"/>
      <c r="H402" s="19"/>
      <c r="I402" s="5"/>
      <c r="J402" s="19"/>
      <c r="K402" s="19"/>
      <c r="L402" s="19"/>
      <c r="O402" s="20"/>
      <c r="P402" s="20"/>
      <c r="Q402" s="19"/>
      <c r="S402" s="19"/>
      <c r="T402" s="19"/>
      <c r="U402" s="19"/>
      <c r="V402" s="19"/>
      <c r="W402" s="19"/>
      <c r="X402" s="19"/>
    </row>
    <row r="403" ht="15.75" customHeight="1">
      <c r="D403" s="19"/>
      <c r="E403" s="19"/>
      <c r="F403" s="19"/>
      <c r="H403" s="19"/>
      <c r="I403" s="5"/>
      <c r="J403" s="19"/>
      <c r="K403" s="19"/>
      <c r="L403" s="19"/>
      <c r="O403" s="20"/>
      <c r="P403" s="20"/>
      <c r="Q403" s="19"/>
      <c r="S403" s="19"/>
      <c r="T403" s="19"/>
      <c r="U403" s="19"/>
      <c r="V403" s="19"/>
      <c r="W403" s="19"/>
      <c r="X403" s="19"/>
    </row>
    <row r="404" ht="15.75" customHeight="1">
      <c r="D404" s="19"/>
      <c r="E404" s="19"/>
      <c r="F404" s="19"/>
      <c r="H404" s="19"/>
      <c r="I404" s="5"/>
      <c r="J404" s="19"/>
      <c r="K404" s="19"/>
      <c r="L404" s="19"/>
      <c r="O404" s="20"/>
      <c r="P404" s="20"/>
      <c r="Q404" s="19"/>
      <c r="S404" s="19"/>
      <c r="T404" s="19"/>
      <c r="U404" s="19"/>
      <c r="V404" s="19"/>
      <c r="W404" s="19"/>
      <c r="X404" s="19"/>
    </row>
    <row r="405" ht="15.75" customHeight="1">
      <c r="D405" s="19"/>
      <c r="E405" s="19"/>
      <c r="F405" s="19"/>
      <c r="H405" s="19"/>
      <c r="I405" s="5"/>
      <c r="J405" s="19"/>
      <c r="K405" s="19"/>
      <c r="L405" s="19"/>
      <c r="O405" s="20"/>
      <c r="P405" s="20"/>
      <c r="Q405" s="19"/>
      <c r="S405" s="19"/>
      <c r="T405" s="19"/>
      <c r="U405" s="19"/>
      <c r="V405" s="19"/>
      <c r="W405" s="19"/>
      <c r="X405" s="19"/>
    </row>
    <row r="406" ht="15.75" customHeight="1">
      <c r="D406" s="19"/>
      <c r="E406" s="19"/>
      <c r="F406" s="19"/>
      <c r="H406" s="19"/>
      <c r="I406" s="5"/>
      <c r="J406" s="19"/>
      <c r="K406" s="19"/>
      <c r="L406" s="19"/>
      <c r="O406" s="20"/>
      <c r="P406" s="20"/>
      <c r="Q406" s="19"/>
      <c r="S406" s="19"/>
      <c r="T406" s="19"/>
      <c r="U406" s="19"/>
      <c r="V406" s="19"/>
      <c r="W406" s="19"/>
      <c r="X406" s="19"/>
    </row>
    <row r="407" ht="15.75" customHeight="1">
      <c r="D407" s="19"/>
      <c r="E407" s="19"/>
      <c r="F407" s="19"/>
      <c r="H407" s="19"/>
      <c r="I407" s="5"/>
      <c r="J407" s="19"/>
      <c r="K407" s="19"/>
      <c r="L407" s="19"/>
      <c r="O407" s="20"/>
      <c r="P407" s="20"/>
      <c r="Q407" s="19"/>
      <c r="S407" s="19"/>
      <c r="T407" s="19"/>
      <c r="U407" s="19"/>
      <c r="V407" s="19"/>
      <c r="W407" s="19"/>
      <c r="X407" s="19"/>
    </row>
    <row r="408" ht="15.75" customHeight="1">
      <c r="D408" s="19"/>
      <c r="E408" s="19"/>
      <c r="F408" s="19"/>
      <c r="H408" s="19"/>
      <c r="I408" s="5"/>
      <c r="J408" s="19"/>
      <c r="K408" s="19"/>
      <c r="L408" s="19"/>
      <c r="O408" s="20"/>
      <c r="P408" s="20"/>
      <c r="Q408" s="19"/>
      <c r="S408" s="19"/>
      <c r="T408" s="19"/>
      <c r="U408" s="19"/>
      <c r="V408" s="19"/>
      <c r="W408" s="19"/>
      <c r="X408" s="19"/>
    </row>
    <row r="409" ht="15.75" customHeight="1">
      <c r="D409" s="19"/>
      <c r="E409" s="19"/>
      <c r="F409" s="19"/>
      <c r="H409" s="19"/>
      <c r="I409" s="5"/>
      <c r="J409" s="19"/>
      <c r="K409" s="19"/>
      <c r="L409" s="19"/>
      <c r="O409" s="20"/>
      <c r="P409" s="20"/>
      <c r="Q409" s="19"/>
      <c r="S409" s="19"/>
      <c r="T409" s="19"/>
      <c r="U409" s="19"/>
      <c r="V409" s="19"/>
      <c r="W409" s="19"/>
      <c r="X409" s="19"/>
    </row>
    <row r="410" ht="15.75" customHeight="1">
      <c r="D410" s="19"/>
      <c r="E410" s="19"/>
      <c r="F410" s="19"/>
      <c r="H410" s="19"/>
      <c r="I410" s="5"/>
      <c r="J410" s="19"/>
      <c r="K410" s="19"/>
      <c r="L410" s="19"/>
      <c r="O410" s="20"/>
      <c r="P410" s="20"/>
      <c r="Q410" s="19"/>
      <c r="S410" s="19"/>
      <c r="T410" s="19"/>
      <c r="U410" s="19"/>
      <c r="V410" s="19"/>
      <c r="W410" s="19"/>
      <c r="X410" s="19"/>
    </row>
    <row r="411" ht="15.75" customHeight="1">
      <c r="D411" s="19"/>
      <c r="E411" s="19"/>
      <c r="F411" s="19"/>
      <c r="H411" s="19"/>
      <c r="I411" s="5"/>
      <c r="J411" s="19"/>
      <c r="K411" s="19"/>
      <c r="L411" s="19"/>
      <c r="O411" s="20"/>
      <c r="P411" s="20"/>
      <c r="Q411" s="19"/>
      <c r="S411" s="19"/>
      <c r="T411" s="19"/>
      <c r="U411" s="19"/>
      <c r="V411" s="19"/>
      <c r="W411" s="19"/>
      <c r="X411" s="19"/>
    </row>
    <row r="412" ht="15.75" customHeight="1">
      <c r="D412" s="19"/>
      <c r="E412" s="19"/>
      <c r="F412" s="19"/>
      <c r="H412" s="19"/>
      <c r="I412" s="5"/>
      <c r="J412" s="19"/>
      <c r="K412" s="19"/>
      <c r="L412" s="19"/>
      <c r="O412" s="20"/>
      <c r="P412" s="20"/>
      <c r="Q412" s="19"/>
      <c r="S412" s="19"/>
      <c r="T412" s="19"/>
      <c r="U412" s="19"/>
      <c r="V412" s="19"/>
      <c r="W412" s="19"/>
      <c r="X412" s="19"/>
    </row>
    <row r="413" ht="15.75" customHeight="1">
      <c r="D413" s="19"/>
      <c r="E413" s="19"/>
      <c r="F413" s="19"/>
      <c r="H413" s="19"/>
      <c r="I413" s="5"/>
      <c r="J413" s="19"/>
      <c r="K413" s="19"/>
      <c r="L413" s="19"/>
      <c r="O413" s="20"/>
      <c r="P413" s="20"/>
      <c r="Q413" s="19"/>
      <c r="S413" s="19"/>
      <c r="T413" s="19"/>
      <c r="U413" s="19"/>
      <c r="V413" s="19"/>
      <c r="W413" s="19"/>
      <c r="X413" s="19"/>
    </row>
    <row r="414" ht="15.75" customHeight="1">
      <c r="D414" s="19"/>
      <c r="E414" s="19"/>
      <c r="F414" s="19"/>
      <c r="H414" s="19"/>
      <c r="I414" s="5"/>
      <c r="J414" s="19"/>
      <c r="K414" s="19"/>
      <c r="L414" s="19"/>
      <c r="O414" s="20"/>
      <c r="P414" s="20"/>
      <c r="Q414" s="19"/>
      <c r="S414" s="19"/>
      <c r="T414" s="19"/>
      <c r="U414" s="19"/>
      <c r="V414" s="19"/>
      <c r="W414" s="19"/>
      <c r="X414" s="19"/>
    </row>
    <row r="415" ht="15.75" customHeight="1">
      <c r="D415" s="19"/>
      <c r="E415" s="19"/>
      <c r="F415" s="19"/>
      <c r="H415" s="19"/>
      <c r="I415" s="5"/>
      <c r="J415" s="19"/>
      <c r="K415" s="19"/>
      <c r="L415" s="19"/>
      <c r="O415" s="20"/>
      <c r="P415" s="20"/>
      <c r="Q415" s="19"/>
      <c r="S415" s="19"/>
      <c r="T415" s="19"/>
      <c r="U415" s="19"/>
      <c r="V415" s="19"/>
      <c r="W415" s="19"/>
      <c r="X415" s="19"/>
    </row>
    <row r="416" ht="15.75" customHeight="1">
      <c r="D416" s="19"/>
      <c r="E416" s="19"/>
      <c r="F416" s="19"/>
      <c r="H416" s="19"/>
      <c r="I416" s="5"/>
      <c r="J416" s="19"/>
      <c r="K416" s="19"/>
      <c r="L416" s="19"/>
      <c r="O416" s="20"/>
      <c r="P416" s="20"/>
      <c r="Q416" s="19"/>
      <c r="S416" s="19"/>
      <c r="T416" s="19"/>
      <c r="U416" s="19"/>
      <c r="V416" s="19"/>
      <c r="W416" s="19"/>
      <c r="X416" s="19"/>
    </row>
    <row r="417" ht="15.75" customHeight="1">
      <c r="D417" s="19"/>
      <c r="E417" s="19"/>
      <c r="F417" s="19"/>
      <c r="H417" s="19"/>
      <c r="I417" s="5"/>
      <c r="J417" s="19"/>
      <c r="K417" s="19"/>
      <c r="L417" s="19"/>
      <c r="O417" s="20"/>
      <c r="P417" s="20"/>
      <c r="Q417" s="19"/>
      <c r="S417" s="19"/>
      <c r="T417" s="19"/>
      <c r="U417" s="19"/>
      <c r="V417" s="19"/>
      <c r="W417" s="19"/>
      <c r="X417" s="19"/>
    </row>
    <row r="418" ht="15.75" customHeight="1">
      <c r="D418" s="19"/>
      <c r="E418" s="19"/>
      <c r="F418" s="19"/>
      <c r="H418" s="19"/>
      <c r="I418" s="5"/>
      <c r="J418" s="19"/>
      <c r="K418" s="19"/>
      <c r="L418" s="19"/>
      <c r="O418" s="20"/>
      <c r="P418" s="20"/>
      <c r="Q418" s="19"/>
      <c r="S418" s="19"/>
      <c r="T418" s="19"/>
      <c r="U418" s="19"/>
      <c r="V418" s="19"/>
      <c r="W418" s="19"/>
      <c r="X418" s="19"/>
    </row>
    <row r="419" ht="15.75" customHeight="1">
      <c r="D419" s="19"/>
      <c r="E419" s="19"/>
      <c r="F419" s="19"/>
      <c r="H419" s="19"/>
      <c r="I419" s="5"/>
      <c r="J419" s="19"/>
      <c r="K419" s="19"/>
      <c r="L419" s="19"/>
      <c r="O419" s="20"/>
      <c r="P419" s="20"/>
      <c r="Q419" s="19"/>
      <c r="S419" s="19"/>
      <c r="T419" s="19"/>
      <c r="U419" s="19"/>
      <c r="V419" s="19"/>
      <c r="W419" s="19"/>
      <c r="X419" s="19"/>
    </row>
    <row r="420" ht="15.75" customHeight="1">
      <c r="D420" s="19"/>
      <c r="E420" s="19"/>
      <c r="F420" s="19"/>
      <c r="H420" s="19"/>
      <c r="I420" s="5"/>
      <c r="J420" s="19"/>
      <c r="K420" s="19"/>
      <c r="L420" s="19"/>
      <c r="O420" s="20"/>
      <c r="P420" s="20"/>
      <c r="Q420" s="19"/>
      <c r="S420" s="19"/>
      <c r="T420" s="19"/>
      <c r="U420" s="19"/>
      <c r="V420" s="19"/>
      <c r="W420" s="19"/>
      <c r="X420" s="19"/>
    </row>
    <row r="421" ht="15.75" customHeight="1">
      <c r="D421" s="19"/>
      <c r="E421" s="19"/>
      <c r="F421" s="19"/>
      <c r="H421" s="19"/>
      <c r="I421" s="5"/>
      <c r="J421" s="19"/>
      <c r="K421" s="19"/>
      <c r="L421" s="19"/>
      <c r="O421" s="20"/>
      <c r="P421" s="20"/>
      <c r="Q421" s="19"/>
      <c r="S421" s="19"/>
      <c r="T421" s="19"/>
      <c r="U421" s="19"/>
      <c r="V421" s="19"/>
      <c r="W421" s="19"/>
      <c r="X421" s="19"/>
    </row>
    <row r="422" ht="15.75" customHeight="1">
      <c r="D422" s="19"/>
      <c r="E422" s="19"/>
      <c r="F422" s="19"/>
      <c r="H422" s="19"/>
      <c r="I422" s="5"/>
      <c r="J422" s="19"/>
      <c r="K422" s="19"/>
      <c r="L422" s="19"/>
      <c r="O422" s="20"/>
      <c r="P422" s="20"/>
      <c r="Q422" s="19"/>
      <c r="S422" s="19"/>
      <c r="T422" s="19"/>
      <c r="U422" s="19"/>
      <c r="V422" s="19"/>
      <c r="W422" s="19"/>
      <c r="X422" s="19"/>
    </row>
    <row r="423" ht="15.75" customHeight="1">
      <c r="D423" s="19"/>
      <c r="E423" s="19"/>
      <c r="F423" s="19"/>
      <c r="H423" s="19"/>
      <c r="I423" s="5"/>
      <c r="J423" s="19"/>
      <c r="K423" s="19"/>
      <c r="L423" s="19"/>
      <c r="O423" s="20"/>
      <c r="P423" s="20"/>
      <c r="Q423" s="19"/>
      <c r="S423" s="19"/>
      <c r="T423" s="19"/>
      <c r="U423" s="19"/>
      <c r="V423" s="19"/>
      <c r="W423" s="19"/>
      <c r="X423" s="19"/>
    </row>
    <row r="424" ht="15.75" customHeight="1">
      <c r="D424" s="19"/>
      <c r="E424" s="19"/>
      <c r="F424" s="19"/>
      <c r="H424" s="19"/>
      <c r="I424" s="5"/>
      <c r="J424" s="19"/>
      <c r="K424" s="19"/>
      <c r="L424" s="19"/>
      <c r="O424" s="20"/>
      <c r="P424" s="20"/>
      <c r="Q424" s="19"/>
      <c r="S424" s="19"/>
      <c r="T424" s="19"/>
      <c r="U424" s="19"/>
      <c r="V424" s="19"/>
      <c r="W424" s="19"/>
      <c r="X424" s="19"/>
    </row>
    <row r="425" ht="15.75" customHeight="1">
      <c r="D425" s="19"/>
      <c r="E425" s="19"/>
      <c r="F425" s="19"/>
      <c r="H425" s="19"/>
      <c r="I425" s="5"/>
      <c r="J425" s="19"/>
      <c r="K425" s="19"/>
      <c r="L425" s="19"/>
      <c r="O425" s="20"/>
      <c r="P425" s="20"/>
      <c r="Q425" s="19"/>
      <c r="S425" s="19"/>
      <c r="T425" s="19"/>
      <c r="U425" s="19"/>
      <c r="V425" s="19"/>
      <c r="W425" s="19"/>
      <c r="X425" s="19"/>
    </row>
    <row r="426" ht="15.75" customHeight="1">
      <c r="D426" s="19"/>
      <c r="E426" s="19"/>
      <c r="F426" s="19"/>
      <c r="H426" s="19"/>
      <c r="I426" s="5"/>
      <c r="J426" s="19"/>
      <c r="K426" s="19"/>
      <c r="L426" s="19"/>
      <c r="O426" s="20"/>
      <c r="P426" s="20"/>
      <c r="Q426" s="19"/>
      <c r="S426" s="19"/>
      <c r="T426" s="19"/>
      <c r="U426" s="19"/>
      <c r="V426" s="19"/>
      <c r="W426" s="19"/>
      <c r="X426" s="19"/>
    </row>
    <row r="427" ht="15.75" customHeight="1">
      <c r="D427" s="19"/>
      <c r="E427" s="19"/>
      <c r="F427" s="19"/>
      <c r="H427" s="19"/>
      <c r="I427" s="5"/>
      <c r="J427" s="19"/>
      <c r="K427" s="19"/>
      <c r="L427" s="19"/>
      <c r="O427" s="20"/>
      <c r="P427" s="20"/>
      <c r="Q427" s="19"/>
      <c r="S427" s="19"/>
      <c r="T427" s="19"/>
      <c r="U427" s="19"/>
      <c r="V427" s="19"/>
      <c r="W427" s="19"/>
      <c r="X427" s="19"/>
    </row>
    <row r="428" ht="15.75" customHeight="1">
      <c r="D428" s="19"/>
      <c r="E428" s="19"/>
      <c r="F428" s="19"/>
      <c r="H428" s="19"/>
      <c r="I428" s="5"/>
      <c r="J428" s="19"/>
      <c r="K428" s="19"/>
      <c r="L428" s="19"/>
      <c r="O428" s="20"/>
      <c r="P428" s="20"/>
      <c r="Q428" s="19"/>
      <c r="S428" s="19"/>
      <c r="T428" s="19"/>
      <c r="U428" s="19"/>
      <c r="V428" s="19"/>
      <c r="W428" s="19"/>
      <c r="X428" s="19"/>
    </row>
    <row r="429" ht="15.75" customHeight="1">
      <c r="D429" s="19"/>
      <c r="E429" s="19"/>
      <c r="F429" s="19"/>
      <c r="H429" s="19"/>
      <c r="I429" s="5"/>
      <c r="J429" s="19"/>
      <c r="K429" s="19"/>
      <c r="L429" s="19"/>
      <c r="O429" s="20"/>
      <c r="P429" s="20"/>
      <c r="Q429" s="19"/>
      <c r="S429" s="19"/>
      <c r="T429" s="19"/>
      <c r="U429" s="19"/>
      <c r="V429" s="19"/>
      <c r="W429" s="19"/>
      <c r="X429" s="19"/>
    </row>
    <row r="430" ht="15.75" customHeight="1">
      <c r="D430" s="19"/>
      <c r="E430" s="19"/>
      <c r="F430" s="19"/>
      <c r="H430" s="19"/>
      <c r="I430" s="5"/>
      <c r="J430" s="19"/>
      <c r="K430" s="19"/>
      <c r="L430" s="19"/>
      <c r="O430" s="20"/>
      <c r="P430" s="20"/>
      <c r="Q430" s="19"/>
      <c r="S430" s="19"/>
      <c r="T430" s="19"/>
      <c r="U430" s="19"/>
      <c r="V430" s="19"/>
      <c r="W430" s="19"/>
      <c r="X430" s="19"/>
    </row>
    <row r="431" ht="15.75" customHeight="1">
      <c r="D431" s="19"/>
      <c r="E431" s="19"/>
      <c r="F431" s="19"/>
      <c r="H431" s="19"/>
      <c r="I431" s="5"/>
      <c r="J431" s="19"/>
      <c r="K431" s="19"/>
      <c r="L431" s="19"/>
      <c r="O431" s="20"/>
      <c r="P431" s="20"/>
      <c r="Q431" s="19"/>
      <c r="S431" s="19"/>
      <c r="T431" s="19"/>
      <c r="U431" s="19"/>
      <c r="V431" s="19"/>
      <c r="W431" s="19"/>
      <c r="X431" s="19"/>
    </row>
    <row r="432" ht="15.75" customHeight="1">
      <c r="D432" s="19"/>
      <c r="E432" s="19"/>
      <c r="F432" s="19"/>
      <c r="H432" s="19"/>
      <c r="I432" s="5"/>
      <c r="J432" s="19"/>
      <c r="K432" s="19"/>
      <c r="L432" s="19"/>
      <c r="O432" s="20"/>
      <c r="P432" s="20"/>
      <c r="Q432" s="19"/>
      <c r="S432" s="19"/>
      <c r="T432" s="19"/>
      <c r="U432" s="19"/>
      <c r="V432" s="19"/>
      <c r="W432" s="19"/>
      <c r="X432" s="19"/>
    </row>
    <row r="433" ht="15.75" customHeight="1">
      <c r="D433" s="19"/>
      <c r="E433" s="19"/>
      <c r="F433" s="19"/>
      <c r="H433" s="19"/>
      <c r="I433" s="5"/>
      <c r="J433" s="19"/>
      <c r="K433" s="19"/>
      <c r="L433" s="19"/>
      <c r="O433" s="20"/>
      <c r="P433" s="20"/>
      <c r="Q433" s="19"/>
      <c r="S433" s="19"/>
      <c r="T433" s="19"/>
      <c r="U433" s="19"/>
      <c r="V433" s="19"/>
      <c r="W433" s="19"/>
      <c r="X433" s="19"/>
    </row>
    <row r="434" ht="15.75" customHeight="1">
      <c r="D434" s="19"/>
      <c r="E434" s="19"/>
      <c r="F434" s="19"/>
      <c r="H434" s="19"/>
      <c r="I434" s="5"/>
      <c r="J434" s="19"/>
      <c r="K434" s="19"/>
      <c r="L434" s="19"/>
      <c r="O434" s="20"/>
      <c r="P434" s="20"/>
      <c r="Q434" s="19"/>
      <c r="S434" s="19"/>
      <c r="T434" s="19"/>
      <c r="U434" s="19"/>
      <c r="V434" s="19"/>
      <c r="W434" s="19"/>
      <c r="X434" s="19"/>
    </row>
    <row r="435" ht="15.75" customHeight="1">
      <c r="D435" s="19"/>
      <c r="E435" s="19"/>
      <c r="F435" s="19"/>
      <c r="H435" s="19"/>
      <c r="I435" s="5"/>
      <c r="J435" s="19"/>
      <c r="K435" s="19"/>
      <c r="L435" s="19"/>
      <c r="O435" s="20"/>
      <c r="P435" s="20"/>
      <c r="Q435" s="19"/>
      <c r="S435" s="19"/>
      <c r="T435" s="19"/>
      <c r="U435" s="19"/>
      <c r="V435" s="19"/>
      <c r="W435" s="19"/>
      <c r="X435" s="19"/>
    </row>
    <row r="436" ht="15.75" customHeight="1">
      <c r="D436" s="19"/>
      <c r="E436" s="19"/>
      <c r="F436" s="19"/>
      <c r="H436" s="19"/>
      <c r="I436" s="5"/>
      <c r="J436" s="19"/>
      <c r="K436" s="19"/>
      <c r="L436" s="19"/>
      <c r="O436" s="20"/>
      <c r="P436" s="20"/>
      <c r="Q436" s="19"/>
      <c r="S436" s="19"/>
      <c r="T436" s="19"/>
      <c r="U436" s="19"/>
      <c r="V436" s="19"/>
      <c r="W436" s="19"/>
      <c r="X436" s="19"/>
    </row>
    <row r="437" ht="15.75" customHeight="1">
      <c r="D437" s="19"/>
      <c r="E437" s="19"/>
      <c r="F437" s="19"/>
      <c r="H437" s="19"/>
      <c r="I437" s="5"/>
      <c r="J437" s="19"/>
      <c r="K437" s="19"/>
      <c r="L437" s="19"/>
      <c r="O437" s="20"/>
      <c r="P437" s="20"/>
      <c r="Q437" s="19"/>
      <c r="S437" s="19"/>
      <c r="T437" s="19"/>
      <c r="U437" s="19"/>
      <c r="V437" s="19"/>
      <c r="W437" s="19"/>
      <c r="X437" s="19"/>
    </row>
    <row r="438" ht="15.75" customHeight="1">
      <c r="D438" s="19"/>
      <c r="E438" s="19"/>
      <c r="F438" s="19"/>
      <c r="H438" s="19"/>
      <c r="I438" s="5"/>
      <c r="J438" s="19"/>
      <c r="K438" s="19"/>
      <c r="L438" s="19"/>
      <c r="O438" s="20"/>
      <c r="P438" s="20"/>
      <c r="Q438" s="19"/>
      <c r="S438" s="19"/>
      <c r="T438" s="19"/>
      <c r="U438" s="19"/>
      <c r="V438" s="19"/>
      <c r="W438" s="19"/>
      <c r="X438" s="19"/>
    </row>
    <row r="439" ht="15.75" customHeight="1">
      <c r="D439" s="19"/>
      <c r="E439" s="19"/>
      <c r="F439" s="19"/>
      <c r="H439" s="19"/>
      <c r="I439" s="5"/>
      <c r="J439" s="19"/>
      <c r="K439" s="19"/>
      <c r="L439" s="19"/>
      <c r="O439" s="20"/>
      <c r="P439" s="20"/>
      <c r="Q439" s="19"/>
      <c r="S439" s="19"/>
      <c r="T439" s="19"/>
      <c r="U439" s="19"/>
      <c r="V439" s="19"/>
      <c r="W439" s="19"/>
      <c r="X439" s="19"/>
    </row>
    <row r="440" ht="15.75" customHeight="1">
      <c r="D440" s="19"/>
      <c r="E440" s="19"/>
      <c r="F440" s="19"/>
      <c r="H440" s="19"/>
      <c r="I440" s="5"/>
      <c r="J440" s="19"/>
      <c r="K440" s="19"/>
      <c r="L440" s="19"/>
      <c r="O440" s="20"/>
      <c r="P440" s="20"/>
      <c r="Q440" s="19"/>
      <c r="S440" s="19"/>
      <c r="T440" s="19"/>
      <c r="U440" s="19"/>
      <c r="V440" s="19"/>
      <c r="W440" s="19"/>
      <c r="X440" s="19"/>
    </row>
    <row r="441" ht="15.75" customHeight="1">
      <c r="D441" s="19"/>
      <c r="E441" s="19"/>
      <c r="F441" s="19"/>
      <c r="H441" s="19"/>
      <c r="I441" s="5"/>
      <c r="J441" s="19"/>
      <c r="K441" s="19"/>
      <c r="L441" s="19"/>
      <c r="O441" s="20"/>
      <c r="P441" s="20"/>
      <c r="Q441" s="19"/>
      <c r="S441" s="19"/>
      <c r="T441" s="19"/>
      <c r="U441" s="19"/>
      <c r="V441" s="19"/>
      <c r="W441" s="19"/>
      <c r="X441" s="19"/>
    </row>
    <row r="442" ht="15.75" customHeight="1">
      <c r="D442" s="19"/>
      <c r="E442" s="19"/>
      <c r="F442" s="19"/>
      <c r="H442" s="19"/>
      <c r="I442" s="5"/>
      <c r="J442" s="19"/>
      <c r="K442" s="19"/>
      <c r="L442" s="19"/>
      <c r="O442" s="20"/>
      <c r="P442" s="20"/>
      <c r="Q442" s="19"/>
      <c r="S442" s="19"/>
      <c r="T442" s="19"/>
      <c r="U442" s="19"/>
      <c r="V442" s="19"/>
      <c r="W442" s="19"/>
      <c r="X442" s="19"/>
    </row>
    <row r="443" ht="15.75" customHeight="1">
      <c r="D443" s="19"/>
      <c r="E443" s="19"/>
      <c r="F443" s="19"/>
      <c r="H443" s="19"/>
      <c r="I443" s="5"/>
      <c r="J443" s="19"/>
      <c r="K443" s="19"/>
      <c r="L443" s="19"/>
      <c r="O443" s="20"/>
      <c r="P443" s="20"/>
      <c r="Q443" s="19"/>
      <c r="S443" s="19"/>
      <c r="T443" s="19"/>
      <c r="U443" s="19"/>
      <c r="V443" s="19"/>
      <c r="W443" s="19"/>
      <c r="X443" s="19"/>
    </row>
    <row r="444" ht="15.75" customHeight="1">
      <c r="D444" s="19"/>
      <c r="E444" s="19"/>
      <c r="F444" s="19"/>
      <c r="H444" s="19"/>
      <c r="I444" s="5"/>
      <c r="J444" s="19"/>
      <c r="K444" s="19"/>
      <c r="L444" s="19"/>
      <c r="O444" s="20"/>
      <c r="P444" s="20"/>
      <c r="Q444" s="19"/>
      <c r="S444" s="19"/>
      <c r="T444" s="19"/>
      <c r="U444" s="19"/>
      <c r="V444" s="19"/>
      <c r="W444" s="19"/>
      <c r="X444" s="19"/>
    </row>
    <row r="445" ht="15.75" customHeight="1">
      <c r="D445" s="19"/>
      <c r="E445" s="19"/>
      <c r="F445" s="19"/>
      <c r="H445" s="19"/>
      <c r="I445" s="5"/>
      <c r="J445" s="19"/>
      <c r="K445" s="19"/>
      <c r="L445" s="19"/>
      <c r="O445" s="20"/>
      <c r="P445" s="20"/>
      <c r="Q445" s="19"/>
      <c r="S445" s="19"/>
      <c r="T445" s="19"/>
      <c r="U445" s="19"/>
      <c r="V445" s="19"/>
      <c r="W445" s="19"/>
      <c r="X445" s="19"/>
    </row>
    <row r="446" ht="15.75" customHeight="1">
      <c r="D446" s="19"/>
      <c r="E446" s="19"/>
      <c r="F446" s="19"/>
      <c r="H446" s="19"/>
      <c r="I446" s="5"/>
      <c r="J446" s="19"/>
      <c r="K446" s="19"/>
      <c r="L446" s="19"/>
      <c r="O446" s="20"/>
      <c r="P446" s="20"/>
      <c r="Q446" s="19"/>
      <c r="S446" s="19"/>
      <c r="T446" s="19"/>
      <c r="U446" s="19"/>
      <c r="V446" s="19"/>
      <c r="W446" s="19"/>
      <c r="X446" s="19"/>
    </row>
    <row r="447" ht="15.75" customHeight="1">
      <c r="D447" s="19"/>
      <c r="E447" s="19"/>
      <c r="F447" s="19"/>
      <c r="H447" s="19"/>
      <c r="I447" s="5"/>
      <c r="J447" s="19"/>
      <c r="K447" s="19"/>
      <c r="L447" s="19"/>
      <c r="O447" s="20"/>
      <c r="P447" s="20"/>
      <c r="Q447" s="19"/>
      <c r="S447" s="19"/>
      <c r="T447" s="19"/>
      <c r="U447" s="19"/>
      <c r="V447" s="19"/>
      <c r="W447" s="19"/>
      <c r="X447" s="19"/>
    </row>
    <row r="448" ht="15.75" customHeight="1">
      <c r="D448" s="19"/>
      <c r="E448" s="19"/>
      <c r="F448" s="19"/>
      <c r="H448" s="19"/>
      <c r="I448" s="5"/>
      <c r="J448" s="19"/>
      <c r="K448" s="19"/>
      <c r="L448" s="19"/>
      <c r="O448" s="20"/>
      <c r="P448" s="20"/>
      <c r="Q448" s="19"/>
      <c r="S448" s="19"/>
      <c r="T448" s="19"/>
      <c r="U448" s="19"/>
      <c r="V448" s="19"/>
      <c r="W448" s="19"/>
      <c r="X448" s="19"/>
    </row>
    <row r="449" ht="15.75" customHeight="1">
      <c r="D449" s="19"/>
      <c r="E449" s="19"/>
      <c r="F449" s="19"/>
      <c r="H449" s="19"/>
      <c r="I449" s="5"/>
      <c r="J449" s="19"/>
      <c r="K449" s="19"/>
      <c r="L449" s="19"/>
      <c r="O449" s="20"/>
      <c r="P449" s="20"/>
      <c r="Q449" s="19"/>
      <c r="S449" s="19"/>
      <c r="T449" s="19"/>
      <c r="U449" s="19"/>
      <c r="V449" s="19"/>
      <c r="W449" s="19"/>
      <c r="X449" s="19"/>
    </row>
    <row r="450" ht="15.75" customHeight="1">
      <c r="D450" s="19"/>
      <c r="E450" s="19"/>
      <c r="F450" s="19"/>
      <c r="H450" s="19"/>
      <c r="I450" s="5"/>
      <c r="J450" s="19"/>
      <c r="K450" s="19"/>
      <c r="L450" s="19"/>
      <c r="O450" s="20"/>
      <c r="P450" s="20"/>
      <c r="Q450" s="19"/>
      <c r="S450" s="19"/>
      <c r="T450" s="19"/>
      <c r="U450" s="19"/>
      <c r="V450" s="19"/>
      <c r="W450" s="19"/>
      <c r="X450" s="19"/>
    </row>
    <row r="451" ht="15.75" customHeight="1">
      <c r="D451" s="19"/>
      <c r="E451" s="19"/>
      <c r="F451" s="19"/>
      <c r="H451" s="19"/>
      <c r="I451" s="5"/>
      <c r="J451" s="19"/>
      <c r="K451" s="19"/>
      <c r="L451" s="19"/>
      <c r="O451" s="20"/>
      <c r="P451" s="20"/>
      <c r="Q451" s="19"/>
      <c r="S451" s="19"/>
      <c r="T451" s="19"/>
      <c r="U451" s="19"/>
      <c r="V451" s="19"/>
      <c r="W451" s="19"/>
      <c r="X451" s="19"/>
    </row>
    <row r="452" ht="15.75" customHeight="1">
      <c r="D452" s="19"/>
      <c r="E452" s="19"/>
      <c r="F452" s="19"/>
      <c r="H452" s="19"/>
      <c r="I452" s="5"/>
      <c r="J452" s="19"/>
      <c r="K452" s="19"/>
      <c r="L452" s="19"/>
      <c r="O452" s="20"/>
      <c r="P452" s="20"/>
      <c r="Q452" s="19"/>
      <c r="S452" s="19"/>
      <c r="T452" s="19"/>
      <c r="U452" s="19"/>
      <c r="V452" s="19"/>
      <c r="W452" s="19"/>
      <c r="X452" s="19"/>
    </row>
    <row r="453" ht="15.75" customHeight="1">
      <c r="D453" s="19"/>
      <c r="E453" s="19"/>
      <c r="F453" s="19"/>
      <c r="H453" s="19"/>
      <c r="I453" s="5"/>
      <c r="J453" s="19"/>
      <c r="K453" s="19"/>
      <c r="L453" s="19"/>
      <c r="O453" s="20"/>
      <c r="P453" s="20"/>
      <c r="Q453" s="19"/>
      <c r="S453" s="19"/>
      <c r="T453" s="19"/>
      <c r="U453" s="19"/>
      <c r="V453" s="19"/>
      <c r="W453" s="19"/>
      <c r="X453" s="19"/>
    </row>
    <row r="454" ht="15.75" customHeight="1">
      <c r="D454" s="19"/>
      <c r="E454" s="19"/>
      <c r="F454" s="19"/>
      <c r="H454" s="19"/>
      <c r="I454" s="5"/>
      <c r="J454" s="19"/>
      <c r="K454" s="19"/>
      <c r="L454" s="19"/>
      <c r="O454" s="20"/>
      <c r="P454" s="20"/>
      <c r="Q454" s="19"/>
      <c r="S454" s="19"/>
      <c r="T454" s="19"/>
      <c r="U454" s="19"/>
      <c r="V454" s="19"/>
      <c r="W454" s="19"/>
      <c r="X454" s="19"/>
    </row>
    <row r="455" ht="15.75" customHeight="1">
      <c r="D455" s="19"/>
      <c r="E455" s="19"/>
      <c r="F455" s="19"/>
      <c r="H455" s="19"/>
      <c r="I455" s="5"/>
      <c r="J455" s="19"/>
      <c r="K455" s="19"/>
      <c r="L455" s="19"/>
      <c r="O455" s="20"/>
      <c r="P455" s="20"/>
      <c r="Q455" s="19"/>
      <c r="S455" s="19"/>
      <c r="T455" s="19"/>
      <c r="U455" s="19"/>
      <c r="V455" s="19"/>
      <c r="W455" s="19"/>
      <c r="X455" s="19"/>
    </row>
    <row r="456" ht="15.75" customHeight="1">
      <c r="D456" s="19"/>
      <c r="E456" s="19"/>
      <c r="F456" s="19"/>
      <c r="H456" s="19"/>
      <c r="I456" s="5"/>
      <c r="J456" s="19"/>
      <c r="K456" s="19"/>
      <c r="L456" s="19"/>
      <c r="O456" s="20"/>
      <c r="P456" s="20"/>
      <c r="Q456" s="19"/>
      <c r="S456" s="19"/>
      <c r="T456" s="19"/>
      <c r="U456" s="19"/>
      <c r="V456" s="19"/>
      <c r="W456" s="19"/>
      <c r="X456" s="19"/>
    </row>
    <row r="457" ht="15.75" customHeight="1">
      <c r="D457" s="19"/>
      <c r="E457" s="19"/>
      <c r="F457" s="19"/>
      <c r="H457" s="19"/>
      <c r="I457" s="5"/>
      <c r="J457" s="19"/>
      <c r="K457" s="19"/>
      <c r="L457" s="19"/>
      <c r="O457" s="20"/>
      <c r="P457" s="20"/>
      <c r="Q457" s="19"/>
      <c r="S457" s="19"/>
      <c r="T457" s="19"/>
      <c r="U457" s="19"/>
      <c r="V457" s="19"/>
      <c r="W457" s="19"/>
      <c r="X457" s="19"/>
    </row>
    <row r="458" ht="15.75" customHeight="1">
      <c r="D458" s="19"/>
      <c r="E458" s="19"/>
      <c r="F458" s="19"/>
      <c r="H458" s="19"/>
      <c r="I458" s="5"/>
      <c r="J458" s="19"/>
      <c r="K458" s="19"/>
      <c r="L458" s="19"/>
      <c r="O458" s="20"/>
      <c r="P458" s="20"/>
      <c r="Q458" s="19"/>
      <c r="S458" s="19"/>
      <c r="T458" s="19"/>
      <c r="U458" s="19"/>
      <c r="V458" s="19"/>
      <c r="W458" s="19"/>
      <c r="X458" s="19"/>
    </row>
    <row r="459" ht="15.75" customHeight="1">
      <c r="D459" s="19"/>
      <c r="E459" s="19"/>
      <c r="F459" s="19"/>
      <c r="H459" s="19"/>
      <c r="I459" s="5"/>
      <c r="J459" s="19"/>
      <c r="K459" s="19"/>
      <c r="L459" s="19"/>
      <c r="O459" s="20"/>
      <c r="P459" s="20"/>
      <c r="Q459" s="19"/>
      <c r="S459" s="19"/>
      <c r="T459" s="19"/>
      <c r="U459" s="19"/>
      <c r="V459" s="19"/>
      <c r="W459" s="19"/>
      <c r="X459" s="19"/>
    </row>
    <row r="460" ht="15.75" customHeight="1">
      <c r="D460" s="19"/>
      <c r="E460" s="19"/>
      <c r="F460" s="19"/>
      <c r="H460" s="19"/>
      <c r="I460" s="5"/>
      <c r="J460" s="19"/>
      <c r="K460" s="19"/>
      <c r="L460" s="19"/>
      <c r="O460" s="20"/>
      <c r="P460" s="20"/>
      <c r="Q460" s="19"/>
      <c r="S460" s="19"/>
      <c r="T460" s="19"/>
      <c r="U460" s="19"/>
      <c r="V460" s="19"/>
      <c r="W460" s="19"/>
      <c r="X460" s="19"/>
    </row>
    <row r="461" ht="15.75" customHeight="1">
      <c r="D461" s="19"/>
      <c r="E461" s="19"/>
      <c r="F461" s="19"/>
      <c r="H461" s="19"/>
      <c r="I461" s="5"/>
      <c r="J461" s="19"/>
      <c r="K461" s="19"/>
      <c r="L461" s="19"/>
      <c r="O461" s="20"/>
      <c r="P461" s="20"/>
      <c r="Q461" s="19"/>
      <c r="S461" s="19"/>
      <c r="T461" s="19"/>
      <c r="U461" s="19"/>
      <c r="V461" s="19"/>
      <c r="W461" s="19"/>
      <c r="X461" s="19"/>
    </row>
    <row r="462" ht="15.75" customHeight="1">
      <c r="D462" s="19"/>
      <c r="E462" s="19"/>
      <c r="F462" s="19"/>
      <c r="H462" s="19"/>
      <c r="I462" s="5"/>
      <c r="J462" s="19"/>
      <c r="K462" s="19"/>
      <c r="L462" s="19"/>
      <c r="O462" s="20"/>
      <c r="P462" s="20"/>
      <c r="Q462" s="19"/>
      <c r="S462" s="19"/>
      <c r="T462" s="19"/>
      <c r="U462" s="19"/>
      <c r="V462" s="19"/>
      <c r="W462" s="19"/>
      <c r="X462" s="19"/>
    </row>
    <row r="463" ht="15.75" customHeight="1">
      <c r="D463" s="19"/>
      <c r="E463" s="19"/>
      <c r="F463" s="19"/>
      <c r="H463" s="19"/>
      <c r="I463" s="5"/>
      <c r="J463" s="19"/>
      <c r="K463" s="19"/>
      <c r="L463" s="19"/>
      <c r="O463" s="20"/>
      <c r="P463" s="20"/>
      <c r="Q463" s="19"/>
      <c r="S463" s="19"/>
      <c r="T463" s="19"/>
      <c r="U463" s="19"/>
      <c r="V463" s="19"/>
      <c r="W463" s="19"/>
      <c r="X463" s="19"/>
    </row>
    <row r="464" ht="15.75" customHeight="1">
      <c r="D464" s="19"/>
      <c r="E464" s="19"/>
      <c r="F464" s="19"/>
      <c r="H464" s="19"/>
      <c r="I464" s="5"/>
      <c r="J464" s="19"/>
      <c r="K464" s="19"/>
      <c r="L464" s="19"/>
      <c r="O464" s="20"/>
      <c r="P464" s="20"/>
      <c r="Q464" s="19"/>
      <c r="S464" s="19"/>
      <c r="T464" s="19"/>
      <c r="U464" s="19"/>
      <c r="V464" s="19"/>
      <c r="W464" s="19"/>
      <c r="X464" s="19"/>
    </row>
    <row r="465" ht="15.75" customHeight="1">
      <c r="D465" s="19"/>
      <c r="E465" s="19"/>
      <c r="F465" s="19"/>
      <c r="H465" s="19"/>
      <c r="I465" s="5"/>
      <c r="J465" s="19"/>
      <c r="K465" s="19"/>
      <c r="L465" s="19"/>
      <c r="O465" s="20"/>
      <c r="P465" s="20"/>
      <c r="Q465" s="19"/>
      <c r="S465" s="19"/>
      <c r="T465" s="19"/>
      <c r="U465" s="19"/>
      <c r="V465" s="19"/>
      <c r="W465" s="19"/>
      <c r="X465" s="19"/>
    </row>
    <row r="466" ht="15.75" customHeight="1">
      <c r="D466" s="19"/>
      <c r="E466" s="19"/>
      <c r="F466" s="19"/>
      <c r="H466" s="19"/>
      <c r="I466" s="5"/>
      <c r="J466" s="19"/>
      <c r="K466" s="19"/>
      <c r="L466" s="19"/>
      <c r="O466" s="20"/>
      <c r="P466" s="20"/>
      <c r="Q466" s="19"/>
      <c r="S466" s="19"/>
      <c r="T466" s="19"/>
      <c r="U466" s="19"/>
      <c r="V466" s="19"/>
      <c r="W466" s="19"/>
      <c r="X466" s="19"/>
    </row>
    <row r="467" ht="15.75" customHeight="1">
      <c r="D467" s="19"/>
      <c r="E467" s="19"/>
      <c r="F467" s="19"/>
      <c r="H467" s="19"/>
      <c r="I467" s="5"/>
      <c r="J467" s="19"/>
      <c r="K467" s="19"/>
      <c r="L467" s="19"/>
      <c r="O467" s="20"/>
      <c r="P467" s="20"/>
      <c r="Q467" s="19"/>
      <c r="S467" s="19"/>
      <c r="T467" s="19"/>
      <c r="U467" s="19"/>
      <c r="V467" s="19"/>
      <c r="W467" s="19"/>
      <c r="X467" s="19"/>
    </row>
    <row r="468" ht="15.75" customHeight="1">
      <c r="D468" s="19"/>
      <c r="E468" s="19"/>
      <c r="F468" s="19"/>
      <c r="H468" s="19"/>
      <c r="I468" s="5"/>
      <c r="J468" s="19"/>
      <c r="K468" s="19"/>
      <c r="L468" s="19"/>
      <c r="O468" s="20"/>
      <c r="P468" s="20"/>
      <c r="Q468" s="19"/>
      <c r="S468" s="19"/>
      <c r="T468" s="19"/>
      <c r="U468" s="19"/>
      <c r="V468" s="19"/>
      <c r="W468" s="19"/>
      <c r="X468" s="19"/>
    </row>
    <row r="469" ht="15.75" customHeight="1">
      <c r="D469" s="19"/>
      <c r="E469" s="19"/>
      <c r="F469" s="19"/>
      <c r="H469" s="19"/>
      <c r="I469" s="5"/>
      <c r="J469" s="19"/>
      <c r="K469" s="19"/>
      <c r="L469" s="19"/>
      <c r="O469" s="20"/>
      <c r="P469" s="20"/>
      <c r="Q469" s="19"/>
      <c r="S469" s="19"/>
      <c r="T469" s="19"/>
      <c r="U469" s="19"/>
      <c r="V469" s="19"/>
      <c r="W469" s="19"/>
      <c r="X469" s="19"/>
    </row>
    <row r="470" ht="15.75" customHeight="1">
      <c r="D470" s="19"/>
      <c r="E470" s="19"/>
      <c r="F470" s="19"/>
      <c r="H470" s="19"/>
      <c r="I470" s="5"/>
      <c r="J470" s="19"/>
      <c r="K470" s="19"/>
      <c r="L470" s="19"/>
      <c r="O470" s="20"/>
      <c r="P470" s="20"/>
      <c r="Q470" s="19"/>
      <c r="S470" s="19"/>
      <c r="T470" s="19"/>
      <c r="U470" s="19"/>
      <c r="V470" s="19"/>
      <c r="W470" s="19"/>
      <c r="X470" s="19"/>
    </row>
    <row r="471" ht="15.75" customHeight="1">
      <c r="D471" s="19"/>
      <c r="E471" s="19"/>
      <c r="F471" s="19"/>
      <c r="H471" s="19"/>
      <c r="I471" s="5"/>
      <c r="J471" s="19"/>
      <c r="K471" s="19"/>
      <c r="L471" s="19"/>
      <c r="O471" s="20"/>
      <c r="P471" s="20"/>
      <c r="Q471" s="19"/>
      <c r="S471" s="19"/>
      <c r="T471" s="19"/>
      <c r="U471" s="19"/>
      <c r="V471" s="19"/>
      <c r="W471" s="19"/>
      <c r="X471" s="19"/>
    </row>
    <row r="472" ht="15.75" customHeight="1">
      <c r="D472" s="19"/>
      <c r="E472" s="19"/>
      <c r="F472" s="19"/>
      <c r="H472" s="19"/>
      <c r="I472" s="5"/>
      <c r="J472" s="19"/>
      <c r="K472" s="19"/>
      <c r="L472" s="19"/>
      <c r="O472" s="20"/>
      <c r="P472" s="20"/>
      <c r="Q472" s="19"/>
      <c r="S472" s="19"/>
      <c r="T472" s="19"/>
      <c r="U472" s="19"/>
      <c r="V472" s="19"/>
      <c r="W472" s="19"/>
      <c r="X472" s="19"/>
    </row>
    <row r="473" ht="15.75" customHeight="1">
      <c r="D473" s="19"/>
      <c r="E473" s="19"/>
      <c r="F473" s="19"/>
      <c r="H473" s="19"/>
      <c r="I473" s="5"/>
      <c r="J473" s="19"/>
      <c r="K473" s="19"/>
      <c r="L473" s="19"/>
      <c r="O473" s="20"/>
      <c r="P473" s="20"/>
      <c r="Q473" s="19"/>
      <c r="S473" s="19"/>
      <c r="T473" s="19"/>
      <c r="U473" s="19"/>
      <c r="V473" s="19"/>
      <c r="W473" s="19"/>
      <c r="X473" s="19"/>
    </row>
    <row r="474" ht="15.75" customHeight="1">
      <c r="D474" s="19"/>
      <c r="E474" s="19"/>
      <c r="F474" s="19"/>
      <c r="H474" s="19"/>
      <c r="I474" s="5"/>
      <c r="J474" s="19"/>
      <c r="K474" s="19"/>
      <c r="L474" s="19"/>
      <c r="O474" s="20"/>
      <c r="P474" s="20"/>
      <c r="Q474" s="19"/>
      <c r="S474" s="19"/>
      <c r="T474" s="19"/>
      <c r="U474" s="19"/>
      <c r="V474" s="19"/>
      <c r="W474" s="19"/>
      <c r="X474" s="19"/>
    </row>
    <row r="475" ht="15.75" customHeight="1">
      <c r="D475" s="19"/>
      <c r="E475" s="19"/>
      <c r="F475" s="19"/>
      <c r="H475" s="19"/>
      <c r="I475" s="5"/>
      <c r="J475" s="19"/>
      <c r="K475" s="19"/>
      <c r="L475" s="19"/>
      <c r="O475" s="20"/>
      <c r="P475" s="20"/>
      <c r="Q475" s="19"/>
      <c r="S475" s="19"/>
      <c r="T475" s="19"/>
      <c r="U475" s="19"/>
      <c r="V475" s="19"/>
      <c r="W475" s="19"/>
      <c r="X475" s="19"/>
    </row>
    <row r="476" ht="15.75" customHeight="1">
      <c r="D476" s="19"/>
      <c r="E476" s="19"/>
      <c r="F476" s="19"/>
      <c r="H476" s="19"/>
      <c r="I476" s="5"/>
      <c r="J476" s="19"/>
      <c r="K476" s="19"/>
      <c r="L476" s="19"/>
      <c r="O476" s="20"/>
      <c r="P476" s="20"/>
      <c r="Q476" s="19"/>
      <c r="S476" s="19"/>
      <c r="T476" s="19"/>
      <c r="U476" s="19"/>
      <c r="V476" s="19"/>
      <c r="W476" s="19"/>
      <c r="X476" s="19"/>
    </row>
    <row r="477" ht="15.75" customHeight="1">
      <c r="D477" s="19"/>
      <c r="E477" s="19"/>
      <c r="F477" s="19"/>
      <c r="H477" s="19"/>
      <c r="I477" s="5"/>
      <c r="J477" s="19"/>
      <c r="K477" s="19"/>
      <c r="L477" s="19"/>
      <c r="O477" s="20"/>
      <c r="P477" s="20"/>
      <c r="Q477" s="19"/>
      <c r="S477" s="19"/>
      <c r="T477" s="19"/>
      <c r="U477" s="19"/>
      <c r="V477" s="19"/>
      <c r="W477" s="19"/>
      <c r="X477" s="19"/>
    </row>
    <row r="478" ht="15.75" customHeight="1">
      <c r="D478" s="19"/>
      <c r="E478" s="19"/>
      <c r="F478" s="19"/>
      <c r="H478" s="19"/>
      <c r="I478" s="5"/>
      <c r="J478" s="19"/>
      <c r="K478" s="19"/>
      <c r="L478" s="19"/>
      <c r="O478" s="20"/>
      <c r="P478" s="20"/>
      <c r="Q478" s="19"/>
      <c r="S478" s="19"/>
      <c r="T478" s="19"/>
      <c r="U478" s="19"/>
      <c r="V478" s="19"/>
      <c r="W478" s="19"/>
      <c r="X478" s="19"/>
    </row>
    <row r="479" ht="15.75" customHeight="1">
      <c r="D479" s="19"/>
      <c r="E479" s="19"/>
      <c r="F479" s="19"/>
      <c r="H479" s="19"/>
      <c r="I479" s="5"/>
      <c r="J479" s="19"/>
      <c r="K479" s="19"/>
      <c r="L479" s="19"/>
      <c r="O479" s="20"/>
      <c r="P479" s="20"/>
      <c r="Q479" s="19"/>
      <c r="S479" s="19"/>
      <c r="T479" s="19"/>
      <c r="U479" s="19"/>
      <c r="V479" s="19"/>
      <c r="W479" s="19"/>
      <c r="X479" s="19"/>
    </row>
    <row r="480" ht="15.75" customHeight="1">
      <c r="D480" s="19"/>
      <c r="E480" s="19"/>
      <c r="F480" s="19"/>
      <c r="H480" s="19"/>
      <c r="I480" s="5"/>
      <c r="J480" s="19"/>
      <c r="K480" s="19"/>
      <c r="L480" s="19"/>
      <c r="O480" s="20"/>
      <c r="P480" s="20"/>
      <c r="Q480" s="19"/>
      <c r="S480" s="19"/>
      <c r="T480" s="19"/>
      <c r="U480" s="19"/>
      <c r="V480" s="19"/>
      <c r="W480" s="19"/>
      <c r="X480" s="19"/>
    </row>
    <row r="481" ht="15.75" customHeight="1">
      <c r="D481" s="19"/>
      <c r="E481" s="19"/>
      <c r="F481" s="19"/>
      <c r="H481" s="19"/>
      <c r="I481" s="5"/>
      <c r="J481" s="19"/>
      <c r="K481" s="19"/>
      <c r="L481" s="19"/>
      <c r="O481" s="20"/>
      <c r="P481" s="20"/>
      <c r="Q481" s="19"/>
      <c r="S481" s="19"/>
      <c r="T481" s="19"/>
      <c r="U481" s="19"/>
      <c r="V481" s="19"/>
      <c r="W481" s="19"/>
      <c r="X481" s="19"/>
    </row>
    <row r="482" ht="15.75" customHeight="1">
      <c r="D482" s="19"/>
      <c r="E482" s="19"/>
      <c r="F482" s="19"/>
      <c r="H482" s="19"/>
      <c r="I482" s="5"/>
      <c r="J482" s="19"/>
      <c r="K482" s="19"/>
      <c r="L482" s="19"/>
      <c r="O482" s="20"/>
      <c r="P482" s="20"/>
      <c r="Q482" s="19"/>
      <c r="S482" s="19"/>
      <c r="T482" s="19"/>
      <c r="U482" s="19"/>
      <c r="V482" s="19"/>
      <c r="W482" s="19"/>
      <c r="X482" s="19"/>
    </row>
    <row r="483" ht="15.75" customHeight="1">
      <c r="D483" s="19"/>
      <c r="E483" s="19"/>
      <c r="F483" s="19"/>
      <c r="H483" s="19"/>
      <c r="I483" s="5"/>
      <c r="J483" s="19"/>
      <c r="K483" s="19"/>
      <c r="L483" s="19"/>
      <c r="O483" s="20"/>
      <c r="P483" s="20"/>
      <c r="Q483" s="19"/>
      <c r="S483" s="19"/>
      <c r="T483" s="19"/>
      <c r="U483" s="19"/>
      <c r="V483" s="19"/>
      <c r="W483" s="19"/>
      <c r="X483" s="19"/>
    </row>
    <row r="484" ht="15.75" customHeight="1">
      <c r="D484" s="19"/>
      <c r="E484" s="19"/>
      <c r="F484" s="19"/>
      <c r="H484" s="19"/>
      <c r="I484" s="5"/>
      <c r="J484" s="19"/>
      <c r="K484" s="19"/>
      <c r="L484" s="19"/>
      <c r="O484" s="20"/>
      <c r="P484" s="20"/>
      <c r="Q484" s="19"/>
      <c r="S484" s="19"/>
      <c r="T484" s="19"/>
      <c r="U484" s="19"/>
      <c r="V484" s="19"/>
      <c r="W484" s="19"/>
      <c r="X484" s="19"/>
    </row>
    <row r="485" ht="15.75" customHeight="1">
      <c r="D485" s="19"/>
      <c r="E485" s="19"/>
      <c r="F485" s="19"/>
      <c r="H485" s="19"/>
      <c r="I485" s="5"/>
      <c r="J485" s="19"/>
      <c r="K485" s="19"/>
      <c r="L485" s="19"/>
      <c r="O485" s="20"/>
      <c r="P485" s="20"/>
      <c r="Q485" s="19"/>
      <c r="S485" s="19"/>
      <c r="T485" s="19"/>
      <c r="U485" s="19"/>
      <c r="V485" s="19"/>
      <c r="W485" s="19"/>
      <c r="X485" s="19"/>
    </row>
    <row r="486" ht="15.75" customHeight="1">
      <c r="D486" s="19"/>
      <c r="E486" s="19"/>
      <c r="F486" s="19"/>
      <c r="H486" s="19"/>
      <c r="I486" s="5"/>
      <c r="J486" s="19"/>
      <c r="K486" s="19"/>
      <c r="L486" s="19"/>
      <c r="O486" s="20"/>
      <c r="P486" s="20"/>
      <c r="Q486" s="19"/>
      <c r="S486" s="19"/>
      <c r="T486" s="19"/>
      <c r="U486" s="19"/>
      <c r="V486" s="19"/>
      <c r="W486" s="19"/>
      <c r="X486" s="19"/>
    </row>
    <row r="487" ht="15.75" customHeight="1">
      <c r="D487" s="19"/>
      <c r="E487" s="19"/>
      <c r="F487" s="19"/>
      <c r="H487" s="19"/>
      <c r="I487" s="5"/>
      <c r="J487" s="19"/>
      <c r="K487" s="19"/>
      <c r="L487" s="19"/>
      <c r="O487" s="20"/>
      <c r="P487" s="20"/>
      <c r="Q487" s="19"/>
      <c r="S487" s="19"/>
      <c r="T487" s="19"/>
      <c r="U487" s="19"/>
      <c r="V487" s="19"/>
      <c r="W487" s="19"/>
      <c r="X487" s="19"/>
    </row>
    <row r="488" ht="15.75" customHeight="1">
      <c r="D488" s="19"/>
      <c r="E488" s="19"/>
      <c r="F488" s="19"/>
      <c r="H488" s="19"/>
      <c r="I488" s="5"/>
      <c r="J488" s="19"/>
      <c r="K488" s="19"/>
      <c r="L488" s="19"/>
      <c r="O488" s="20"/>
      <c r="P488" s="20"/>
      <c r="Q488" s="19"/>
      <c r="S488" s="19"/>
      <c r="T488" s="19"/>
      <c r="U488" s="19"/>
      <c r="V488" s="19"/>
      <c r="W488" s="19"/>
      <c r="X488" s="19"/>
    </row>
    <row r="489" ht="15.75" customHeight="1">
      <c r="D489" s="19"/>
      <c r="E489" s="19"/>
      <c r="F489" s="19"/>
      <c r="H489" s="19"/>
      <c r="I489" s="5"/>
      <c r="J489" s="19"/>
      <c r="K489" s="19"/>
      <c r="L489" s="19"/>
      <c r="O489" s="20"/>
      <c r="P489" s="20"/>
      <c r="Q489" s="19"/>
      <c r="S489" s="19"/>
      <c r="T489" s="19"/>
      <c r="U489" s="19"/>
      <c r="V489" s="19"/>
      <c r="W489" s="19"/>
      <c r="X489" s="19"/>
    </row>
    <row r="490" ht="15.75" customHeight="1">
      <c r="D490" s="19"/>
      <c r="E490" s="19"/>
      <c r="F490" s="19"/>
      <c r="H490" s="19"/>
      <c r="I490" s="5"/>
      <c r="J490" s="19"/>
      <c r="K490" s="19"/>
      <c r="L490" s="19"/>
      <c r="O490" s="20"/>
      <c r="P490" s="20"/>
      <c r="Q490" s="19"/>
      <c r="S490" s="19"/>
      <c r="T490" s="19"/>
      <c r="U490" s="19"/>
      <c r="V490" s="19"/>
      <c r="W490" s="19"/>
      <c r="X490" s="19"/>
    </row>
    <row r="491" ht="15.75" customHeight="1">
      <c r="D491" s="19"/>
      <c r="E491" s="19"/>
      <c r="F491" s="19"/>
      <c r="H491" s="19"/>
      <c r="I491" s="5"/>
      <c r="J491" s="19"/>
      <c r="K491" s="19"/>
      <c r="L491" s="19"/>
      <c r="O491" s="20"/>
      <c r="P491" s="20"/>
      <c r="Q491" s="19"/>
      <c r="S491" s="19"/>
      <c r="T491" s="19"/>
      <c r="U491" s="19"/>
      <c r="V491" s="19"/>
      <c r="W491" s="19"/>
      <c r="X491" s="19"/>
    </row>
    <row r="492" ht="15.75" customHeight="1">
      <c r="D492" s="19"/>
      <c r="E492" s="19"/>
      <c r="F492" s="19"/>
      <c r="H492" s="19"/>
      <c r="I492" s="5"/>
      <c r="J492" s="19"/>
      <c r="K492" s="19"/>
      <c r="L492" s="19"/>
      <c r="O492" s="20"/>
      <c r="P492" s="20"/>
      <c r="Q492" s="19"/>
      <c r="S492" s="19"/>
      <c r="T492" s="19"/>
      <c r="U492" s="19"/>
      <c r="V492" s="19"/>
      <c r="W492" s="19"/>
      <c r="X492" s="19"/>
    </row>
    <row r="493" ht="15.75" customHeight="1">
      <c r="D493" s="19"/>
      <c r="E493" s="19"/>
      <c r="F493" s="19"/>
      <c r="H493" s="19"/>
      <c r="I493" s="5"/>
      <c r="J493" s="19"/>
      <c r="K493" s="19"/>
      <c r="L493" s="19"/>
      <c r="O493" s="20"/>
      <c r="P493" s="20"/>
      <c r="Q493" s="19"/>
      <c r="S493" s="19"/>
      <c r="T493" s="19"/>
      <c r="U493" s="19"/>
      <c r="V493" s="19"/>
      <c r="W493" s="19"/>
      <c r="X493" s="19"/>
    </row>
    <row r="494" ht="15.75" customHeight="1">
      <c r="D494" s="19"/>
      <c r="E494" s="19"/>
      <c r="F494" s="19"/>
      <c r="H494" s="19"/>
      <c r="I494" s="5"/>
      <c r="J494" s="19"/>
      <c r="K494" s="19"/>
      <c r="L494" s="19"/>
      <c r="O494" s="20"/>
      <c r="P494" s="20"/>
      <c r="Q494" s="19"/>
      <c r="S494" s="19"/>
      <c r="T494" s="19"/>
      <c r="U494" s="19"/>
      <c r="V494" s="19"/>
      <c r="W494" s="19"/>
      <c r="X494" s="19"/>
    </row>
    <row r="495" ht="15.75" customHeight="1">
      <c r="D495" s="19"/>
      <c r="E495" s="19"/>
      <c r="F495" s="19"/>
      <c r="H495" s="19"/>
      <c r="I495" s="5"/>
      <c r="J495" s="19"/>
      <c r="K495" s="19"/>
      <c r="L495" s="19"/>
      <c r="O495" s="20"/>
      <c r="P495" s="20"/>
      <c r="Q495" s="19"/>
      <c r="S495" s="19"/>
      <c r="T495" s="19"/>
      <c r="U495" s="19"/>
      <c r="V495" s="19"/>
      <c r="W495" s="19"/>
      <c r="X495" s="19"/>
    </row>
    <row r="496" ht="15.75" customHeight="1">
      <c r="D496" s="19"/>
      <c r="E496" s="19"/>
      <c r="F496" s="19"/>
      <c r="H496" s="19"/>
      <c r="I496" s="5"/>
      <c r="J496" s="19"/>
      <c r="K496" s="19"/>
      <c r="L496" s="19"/>
      <c r="O496" s="20"/>
      <c r="P496" s="20"/>
      <c r="Q496" s="19"/>
      <c r="S496" s="19"/>
      <c r="T496" s="19"/>
      <c r="U496" s="19"/>
      <c r="V496" s="19"/>
      <c r="W496" s="19"/>
      <c r="X496" s="19"/>
    </row>
    <row r="497" ht="15.75" customHeight="1">
      <c r="D497" s="19"/>
      <c r="E497" s="19"/>
      <c r="F497" s="19"/>
      <c r="H497" s="19"/>
      <c r="I497" s="5"/>
      <c r="J497" s="19"/>
      <c r="K497" s="19"/>
      <c r="L497" s="19"/>
      <c r="O497" s="20"/>
      <c r="P497" s="20"/>
      <c r="Q497" s="19"/>
      <c r="S497" s="19"/>
      <c r="T497" s="19"/>
      <c r="U497" s="19"/>
      <c r="V497" s="19"/>
      <c r="W497" s="19"/>
      <c r="X497" s="19"/>
    </row>
    <row r="498" ht="15.75" customHeight="1">
      <c r="D498" s="19"/>
      <c r="E498" s="19"/>
      <c r="F498" s="19"/>
      <c r="H498" s="19"/>
      <c r="I498" s="5"/>
      <c r="J498" s="19"/>
      <c r="K498" s="19"/>
      <c r="L498" s="19"/>
      <c r="O498" s="20"/>
      <c r="P498" s="20"/>
      <c r="Q498" s="19"/>
      <c r="S498" s="19"/>
      <c r="T498" s="19"/>
      <c r="U498" s="19"/>
      <c r="V498" s="19"/>
      <c r="W498" s="19"/>
      <c r="X498" s="19"/>
    </row>
    <row r="499" ht="15.75" customHeight="1">
      <c r="D499" s="19"/>
      <c r="E499" s="19"/>
      <c r="F499" s="19"/>
      <c r="H499" s="19"/>
      <c r="I499" s="5"/>
      <c r="J499" s="19"/>
      <c r="K499" s="19"/>
      <c r="L499" s="19"/>
      <c r="O499" s="20"/>
      <c r="P499" s="20"/>
      <c r="Q499" s="19"/>
      <c r="S499" s="19"/>
      <c r="T499" s="19"/>
      <c r="U499" s="19"/>
      <c r="V499" s="19"/>
      <c r="W499" s="19"/>
      <c r="X499" s="19"/>
    </row>
    <row r="500" ht="15.75" customHeight="1">
      <c r="D500" s="19"/>
      <c r="E500" s="19"/>
      <c r="F500" s="19"/>
      <c r="H500" s="19"/>
      <c r="I500" s="5"/>
      <c r="J500" s="19"/>
      <c r="K500" s="19"/>
      <c r="L500" s="19"/>
      <c r="O500" s="20"/>
      <c r="P500" s="20"/>
      <c r="Q500" s="19"/>
      <c r="S500" s="19"/>
      <c r="T500" s="19"/>
      <c r="U500" s="19"/>
      <c r="V500" s="19"/>
      <c r="W500" s="19"/>
      <c r="X500" s="19"/>
    </row>
    <row r="501" ht="15.75" customHeight="1">
      <c r="D501" s="19"/>
      <c r="E501" s="19"/>
      <c r="F501" s="19"/>
      <c r="H501" s="19"/>
      <c r="I501" s="5"/>
      <c r="J501" s="19"/>
      <c r="K501" s="19"/>
      <c r="L501" s="19"/>
      <c r="O501" s="20"/>
      <c r="P501" s="20"/>
      <c r="Q501" s="19"/>
      <c r="S501" s="19"/>
      <c r="T501" s="19"/>
      <c r="U501" s="19"/>
      <c r="V501" s="19"/>
      <c r="W501" s="19"/>
      <c r="X501" s="19"/>
    </row>
    <row r="502" ht="15.75" customHeight="1">
      <c r="D502" s="19"/>
      <c r="E502" s="19"/>
      <c r="F502" s="19"/>
      <c r="H502" s="19"/>
      <c r="I502" s="5"/>
      <c r="J502" s="19"/>
      <c r="K502" s="19"/>
      <c r="L502" s="19"/>
      <c r="O502" s="20"/>
      <c r="P502" s="20"/>
      <c r="Q502" s="19"/>
      <c r="S502" s="19"/>
      <c r="T502" s="19"/>
      <c r="U502" s="19"/>
      <c r="V502" s="19"/>
      <c r="W502" s="19"/>
      <c r="X502" s="19"/>
    </row>
    <row r="503" ht="15.75" customHeight="1">
      <c r="D503" s="19"/>
      <c r="E503" s="19"/>
      <c r="F503" s="19"/>
      <c r="H503" s="19"/>
      <c r="I503" s="5"/>
      <c r="J503" s="19"/>
      <c r="K503" s="19"/>
      <c r="L503" s="19"/>
      <c r="O503" s="20"/>
      <c r="P503" s="20"/>
      <c r="Q503" s="19"/>
      <c r="S503" s="19"/>
      <c r="T503" s="19"/>
      <c r="U503" s="19"/>
      <c r="V503" s="19"/>
      <c r="W503" s="19"/>
      <c r="X503" s="19"/>
    </row>
    <row r="504" ht="15.75" customHeight="1">
      <c r="D504" s="19"/>
      <c r="E504" s="19"/>
      <c r="F504" s="19"/>
      <c r="H504" s="19"/>
      <c r="I504" s="5"/>
      <c r="J504" s="19"/>
      <c r="K504" s="19"/>
      <c r="L504" s="19"/>
      <c r="O504" s="20"/>
      <c r="P504" s="20"/>
      <c r="Q504" s="19"/>
      <c r="S504" s="19"/>
      <c r="T504" s="19"/>
      <c r="U504" s="19"/>
      <c r="V504" s="19"/>
      <c r="W504" s="19"/>
      <c r="X504" s="19"/>
    </row>
    <row r="505" ht="15.75" customHeight="1">
      <c r="D505" s="19"/>
      <c r="E505" s="19"/>
      <c r="F505" s="19"/>
      <c r="H505" s="19"/>
      <c r="I505" s="5"/>
      <c r="J505" s="19"/>
      <c r="K505" s="19"/>
      <c r="L505" s="19"/>
      <c r="O505" s="20"/>
      <c r="P505" s="20"/>
      <c r="Q505" s="19"/>
      <c r="S505" s="19"/>
      <c r="T505" s="19"/>
      <c r="U505" s="19"/>
      <c r="V505" s="19"/>
      <c r="W505" s="19"/>
      <c r="X505" s="19"/>
    </row>
    <row r="506" ht="15.75" customHeight="1">
      <c r="D506" s="19"/>
      <c r="E506" s="19"/>
      <c r="F506" s="19"/>
      <c r="H506" s="19"/>
      <c r="I506" s="5"/>
      <c r="J506" s="19"/>
      <c r="K506" s="19"/>
      <c r="L506" s="19"/>
      <c r="O506" s="20"/>
      <c r="P506" s="20"/>
      <c r="Q506" s="19"/>
      <c r="S506" s="19"/>
      <c r="T506" s="19"/>
      <c r="U506" s="19"/>
      <c r="V506" s="19"/>
      <c r="W506" s="19"/>
      <c r="X506" s="19"/>
    </row>
    <row r="507" ht="15.75" customHeight="1">
      <c r="D507" s="19"/>
      <c r="E507" s="19"/>
      <c r="F507" s="19"/>
      <c r="H507" s="19"/>
      <c r="I507" s="5"/>
      <c r="J507" s="19"/>
      <c r="K507" s="19"/>
      <c r="L507" s="19"/>
      <c r="O507" s="20"/>
      <c r="P507" s="20"/>
      <c r="Q507" s="19"/>
      <c r="S507" s="19"/>
      <c r="T507" s="19"/>
      <c r="U507" s="19"/>
      <c r="V507" s="19"/>
      <c r="W507" s="19"/>
      <c r="X507" s="19"/>
    </row>
    <row r="508" ht="15.75" customHeight="1">
      <c r="D508" s="19"/>
      <c r="E508" s="19"/>
      <c r="F508" s="19"/>
      <c r="H508" s="19"/>
      <c r="I508" s="5"/>
      <c r="J508" s="19"/>
      <c r="K508" s="19"/>
      <c r="L508" s="19"/>
      <c r="O508" s="20"/>
      <c r="P508" s="20"/>
      <c r="Q508" s="19"/>
      <c r="S508" s="19"/>
      <c r="T508" s="19"/>
      <c r="U508" s="19"/>
      <c r="V508" s="19"/>
      <c r="W508" s="19"/>
      <c r="X508" s="19"/>
    </row>
    <row r="509" ht="15.75" customHeight="1">
      <c r="D509" s="19"/>
      <c r="E509" s="19"/>
      <c r="F509" s="19"/>
      <c r="H509" s="19"/>
      <c r="I509" s="5"/>
      <c r="J509" s="19"/>
      <c r="K509" s="19"/>
      <c r="L509" s="19"/>
      <c r="O509" s="20"/>
      <c r="P509" s="20"/>
      <c r="Q509" s="19"/>
      <c r="S509" s="19"/>
      <c r="T509" s="19"/>
      <c r="U509" s="19"/>
      <c r="V509" s="19"/>
      <c r="W509" s="19"/>
      <c r="X509" s="19"/>
    </row>
    <row r="510" ht="15.75" customHeight="1">
      <c r="D510" s="19"/>
      <c r="E510" s="19"/>
      <c r="F510" s="19"/>
      <c r="H510" s="19"/>
      <c r="I510" s="5"/>
      <c r="J510" s="19"/>
      <c r="K510" s="19"/>
      <c r="L510" s="19"/>
      <c r="O510" s="20"/>
      <c r="P510" s="20"/>
      <c r="Q510" s="19"/>
      <c r="S510" s="19"/>
      <c r="T510" s="19"/>
      <c r="U510" s="19"/>
      <c r="V510" s="19"/>
      <c r="W510" s="19"/>
      <c r="X510" s="19"/>
    </row>
    <row r="511" ht="15.75" customHeight="1">
      <c r="D511" s="19"/>
      <c r="E511" s="19"/>
      <c r="F511" s="19"/>
      <c r="H511" s="19"/>
      <c r="I511" s="5"/>
      <c r="J511" s="19"/>
      <c r="K511" s="19"/>
      <c r="L511" s="19"/>
      <c r="O511" s="20"/>
      <c r="P511" s="20"/>
      <c r="Q511" s="19"/>
      <c r="S511" s="19"/>
      <c r="T511" s="19"/>
      <c r="U511" s="19"/>
      <c r="V511" s="19"/>
      <c r="W511" s="19"/>
      <c r="X511" s="19"/>
    </row>
    <row r="512" ht="15.75" customHeight="1">
      <c r="D512" s="19"/>
      <c r="E512" s="19"/>
      <c r="F512" s="19"/>
      <c r="H512" s="19"/>
      <c r="I512" s="5"/>
      <c r="J512" s="19"/>
      <c r="K512" s="19"/>
      <c r="L512" s="19"/>
      <c r="O512" s="20"/>
      <c r="P512" s="20"/>
      <c r="Q512" s="19"/>
      <c r="S512" s="19"/>
      <c r="T512" s="19"/>
      <c r="U512" s="19"/>
      <c r="V512" s="19"/>
      <c r="W512" s="19"/>
      <c r="X512" s="19"/>
    </row>
    <row r="513" ht="15.75" customHeight="1">
      <c r="D513" s="19"/>
      <c r="E513" s="19"/>
      <c r="F513" s="19"/>
      <c r="H513" s="19"/>
      <c r="I513" s="5"/>
      <c r="J513" s="19"/>
      <c r="K513" s="19"/>
      <c r="L513" s="19"/>
      <c r="O513" s="20"/>
      <c r="P513" s="20"/>
      <c r="Q513" s="19"/>
      <c r="S513" s="19"/>
      <c r="T513" s="19"/>
      <c r="U513" s="19"/>
      <c r="V513" s="19"/>
      <c r="W513" s="19"/>
      <c r="X513" s="19"/>
    </row>
    <row r="514" ht="15.75" customHeight="1">
      <c r="D514" s="19"/>
      <c r="E514" s="19"/>
      <c r="F514" s="19"/>
      <c r="H514" s="19"/>
      <c r="I514" s="5"/>
      <c r="J514" s="19"/>
      <c r="K514" s="19"/>
      <c r="L514" s="19"/>
      <c r="O514" s="20"/>
      <c r="P514" s="20"/>
      <c r="Q514" s="19"/>
      <c r="S514" s="19"/>
      <c r="T514" s="19"/>
      <c r="U514" s="19"/>
      <c r="V514" s="19"/>
      <c r="W514" s="19"/>
      <c r="X514" s="19"/>
    </row>
    <row r="515" ht="15.75" customHeight="1">
      <c r="D515" s="19"/>
      <c r="E515" s="19"/>
      <c r="F515" s="19"/>
      <c r="H515" s="19"/>
      <c r="I515" s="5"/>
      <c r="J515" s="19"/>
      <c r="K515" s="19"/>
      <c r="L515" s="19"/>
      <c r="O515" s="20"/>
      <c r="P515" s="20"/>
      <c r="Q515" s="19"/>
      <c r="S515" s="19"/>
      <c r="T515" s="19"/>
      <c r="U515" s="19"/>
      <c r="V515" s="19"/>
      <c r="W515" s="19"/>
      <c r="X515" s="19"/>
    </row>
    <row r="516" ht="15.75" customHeight="1">
      <c r="D516" s="19"/>
      <c r="E516" s="19"/>
      <c r="F516" s="19"/>
      <c r="H516" s="19"/>
      <c r="I516" s="5"/>
      <c r="J516" s="19"/>
      <c r="K516" s="19"/>
      <c r="L516" s="19"/>
      <c r="O516" s="20"/>
      <c r="P516" s="20"/>
      <c r="Q516" s="19"/>
      <c r="S516" s="19"/>
      <c r="T516" s="19"/>
      <c r="U516" s="19"/>
      <c r="V516" s="19"/>
      <c r="W516" s="19"/>
      <c r="X516" s="19"/>
    </row>
    <row r="517" ht="15.75" customHeight="1">
      <c r="D517" s="19"/>
      <c r="E517" s="19"/>
      <c r="F517" s="19"/>
      <c r="H517" s="19"/>
      <c r="I517" s="5"/>
      <c r="J517" s="19"/>
      <c r="K517" s="19"/>
      <c r="L517" s="19"/>
      <c r="O517" s="20"/>
      <c r="P517" s="20"/>
      <c r="Q517" s="19"/>
      <c r="S517" s="19"/>
      <c r="T517" s="19"/>
      <c r="U517" s="19"/>
      <c r="V517" s="19"/>
      <c r="W517" s="19"/>
      <c r="X517" s="19"/>
    </row>
    <row r="518" ht="15.75" customHeight="1">
      <c r="D518" s="19"/>
      <c r="E518" s="19"/>
      <c r="F518" s="19"/>
      <c r="H518" s="19"/>
      <c r="I518" s="5"/>
      <c r="J518" s="19"/>
      <c r="K518" s="19"/>
      <c r="L518" s="19"/>
      <c r="O518" s="20"/>
      <c r="P518" s="20"/>
      <c r="Q518" s="19"/>
      <c r="S518" s="19"/>
      <c r="T518" s="19"/>
      <c r="U518" s="19"/>
      <c r="V518" s="19"/>
      <c r="W518" s="19"/>
      <c r="X518" s="19"/>
    </row>
    <row r="519" ht="15.75" customHeight="1">
      <c r="D519" s="19"/>
      <c r="E519" s="19"/>
      <c r="F519" s="19"/>
      <c r="H519" s="19"/>
      <c r="I519" s="5"/>
      <c r="J519" s="19"/>
      <c r="K519" s="19"/>
      <c r="L519" s="19"/>
      <c r="O519" s="20"/>
      <c r="P519" s="20"/>
      <c r="Q519" s="19"/>
      <c r="S519" s="19"/>
      <c r="T519" s="19"/>
      <c r="U519" s="19"/>
      <c r="V519" s="19"/>
      <c r="W519" s="19"/>
      <c r="X519" s="19"/>
    </row>
    <row r="520" ht="15.75" customHeight="1">
      <c r="D520" s="19"/>
      <c r="E520" s="19"/>
      <c r="F520" s="19"/>
      <c r="H520" s="19"/>
      <c r="I520" s="5"/>
      <c r="J520" s="19"/>
      <c r="K520" s="19"/>
      <c r="L520" s="19"/>
      <c r="O520" s="20"/>
      <c r="P520" s="20"/>
      <c r="Q520" s="19"/>
      <c r="S520" s="19"/>
      <c r="T520" s="19"/>
      <c r="U520" s="19"/>
      <c r="V520" s="19"/>
      <c r="W520" s="19"/>
      <c r="X520" s="19"/>
    </row>
    <row r="521" ht="15.75" customHeight="1">
      <c r="D521" s="19"/>
      <c r="E521" s="19"/>
      <c r="F521" s="19"/>
      <c r="H521" s="19"/>
      <c r="I521" s="5"/>
      <c r="J521" s="19"/>
      <c r="K521" s="19"/>
      <c r="L521" s="19"/>
      <c r="O521" s="20"/>
      <c r="P521" s="20"/>
      <c r="Q521" s="19"/>
      <c r="S521" s="19"/>
      <c r="T521" s="19"/>
      <c r="U521" s="19"/>
      <c r="V521" s="19"/>
      <c r="W521" s="19"/>
      <c r="X521" s="19"/>
    </row>
    <row r="522" ht="15.75" customHeight="1">
      <c r="D522" s="19"/>
      <c r="E522" s="19"/>
      <c r="F522" s="19"/>
      <c r="H522" s="19"/>
      <c r="I522" s="5"/>
      <c r="J522" s="19"/>
      <c r="K522" s="19"/>
      <c r="L522" s="19"/>
      <c r="O522" s="20"/>
      <c r="P522" s="20"/>
      <c r="Q522" s="19"/>
      <c r="S522" s="19"/>
      <c r="T522" s="19"/>
      <c r="U522" s="19"/>
      <c r="V522" s="19"/>
      <c r="W522" s="19"/>
      <c r="X522" s="19"/>
    </row>
    <row r="523" ht="15.75" customHeight="1">
      <c r="D523" s="19"/>
      <c r="E523" s="19"/>
      <c r="F523" s="19"/>
      <c r="H523" s="19"/>
      <c r="I523" s="5"/>
      <c r="J523" s="19"/>
      <c r="K523" s="19"/>
      <c r="L523" s="19"/>
      <c r="O523" s="20"/>
      <c r="P523" s="20"/>
      <c r="Q523" s="19"/>
      <c r="S523" s="19"/>
      <c r="T523" s="19"/>
      <c r="U523" s="19"/>
      <c r="V523" s="19"/>
      <c r="W523" s="19"/>
      <c r="X523" s="19"/>
    </row>
    <row r="524" ht="15.75" customHeight="1">
      <c r="D524" s="19"/>
      <c r="E524" s="19"/>
      <c r="F524" s="19"/>
      <c r="H524" s="19"/>
      <c r="I524" s="5"/>
      <c r="J524" s="19"/>
      <c r="K524" s="19"/>
      <c r="L524" s="19"/>
      <c r="O524" s="20"/>
      <c r="P524" s="20"/>
      <c r="Q524" s="19"/>
      <c r="S524" s="19"/>
      <c r="T524" s="19"/>
      <c r="U524" s="19"/>
      <c r="V524" s="19"/>
      <c r="W524" s="19"/>
      <c r="X524" s="19"/>
    </row>
    <row r="525" ht="15.75" customHeight="1">
      <c r="D525" s="19"/>
      <c r="E525" s="19"/>
      <c r="F525" s="19"/>
      <c r="H525" s="19"/>
      <c r="I525" s="5"/>
      <c r="J525" s="19"/>
      <c r="K525" s="19"/>
      <c r="L525" s="19"/>
      <c r="O525" s="20"/>
      <c r="P525" s="20"/>
      <c r="Q525" s="19"/>
      <c r="S525" s="19"/>
      <c r="T525" s="19"/>
      <c r="U525" s="19"/>
      <c r="V525" s="19"/>
      <c r="W525" s="19"/>
      <c r="X525" s="19"/>
    </row>
    <row r="526" ht="15.75" customHeight="1">
      <c r="D526" s="19"/>
      <c r="E526" s="19"/>
      <c r="F526" s="19"/>
      <c r="H526" s="19"/>
      <c r="I526" s="5"/>
      <c r="J526" s="19"/>
      <c r="K526" s="19"/>
      <c r="L526" s="19"/>
      <c r="O526" s="20"/>
      <c r="P526" s="20"/>
      <c r="Q526" s="19"/>
      <c r="S526" s="19"/>
      <c r="T526" s="19"/>
      <c r="U526" s="19"/>
      <c r="V526" s="19"/>
      <c r="W526" s="19"/>
      <c r="X526" s="19"/>
    </row>
    <row r="527" ht="15.75" customHeight="1">
      <c r="D527" s="19"/>
      <c r="E527" s="19"/>
      <c r="F527" s="19"/>
      <c r="H527" s="19"/>
      <c r="I527" s="5"/>
      <c r="J527" s="19"/>
      <c r="K527" s="19"/>
      <c r="L527" s="19"/>
      <c r="O527" s="20"/>
      <c r="P527" s="20"/>
      <c r="Q527" s="19"/>
      <c r="S527" s="19"/>
      <c r="T527" s="19"/>
      <c r="U527" s="19"/>
      <c r="V527" s="19"/>
      <c r="W527" s="19"/>
      <c r="X527" s="19"/>
    </row>
    <row r="528" ht="15.75" customHeight="1">
      <c r="D528" s="19"/>
      <c r="E528" s="19"/>
      <c r="F528" s="19"/>
      <c r="H528" s="19"/>
      <c r="I528" s="5"/>
      <c r="J528" s="19"/>
      <c r="K528" s="19"/>
      <c r="L528" s="19"/>
      <c r="O528" s="20"/>
      <c r="P528" s="20"/>
      <c r="Q528" s="19"/>
      <c r="S528" s="19"/>
      <c r="T528" s="19"/>
      <c r="U528" s="19"/>
      <c r="V528" s="19"/>
      <c r="W528" s="19"/>
      <c r="X528" s="19"/>
    </row>
    <row r="529" ht="15.75" customHeight="1">
      <c r="D529" s="19"/>
      <c r="E529" s="19"/>
      <c r="F529" s="19"/>
      <c r="H529" s="19"/>
      <c r="I529" s="5"/>
      <c r="J529" s="19"/>
      <c r="K529" s="19"/>
      <c r="L529" s="19"/>
      <c r="O529" s="20"/>
      <c r="P529" s="20"/>
      <c r="Q529" s="19"/>
      <c r="S529" s="19"/>
      <c r="T529" s="19"/>
      <c r="U529" s="19"/>
      <c r="V529" s="19"/>
      <c r="W529" s="19"/>
      <c r="X529" s="19"/>
    </row>
    <row r="530" ht="15.75" customHeight="1">
      <c r="D530" s="19"/>
      <c r="E530" s="19"/>
      <c r="F530" s="19"/>
      <c r="H530" s="19"/>
      <c r="I530" s="5"/>
      <c r="J530" s="19"/>
      <c r="K530" s="19"/>
      <c r="L530" s="19"/>
      <c r="O530" s="20"/>
      <c r="P530" s="20"/>
      <c r="Q530" s="19"/>
      <c r="S530" s="19"/>
      <c r="T530" s="19"/>
      <c r="U530" s="19"/>
      <c r="V530" s="19"/>
      <c r="W530" s="19"/>
      <c r="X530" s="19"/>
    </row>
    <row r="531" ht="15.75" customHeight="1">
      <c r="D531" s="19"/>
      <c r="E531" s="19"/>
      <c r="F531" s="19"/>
      <c r="H531" s="19"/>
      <c r="I531" s="5"/>
      <c r="J531" s="19"/>
      <c r="K531" s="19"/>
      <c r="L531" s="19"/>
      <c r="O531" s="20"/>
      <c r="P531" s="20"/>
      <c r="Q531" s="19"/>
      <c r="S531" s="19"/>
      <c r="T531" s="19"/>
      <c r="U531" s="19"/>
      <c r="V531" s="19"/>
      <c r="W531" s="19"/>
      <c r="X531" s="19"/>
    </row>
    <row r="532" ht="15.75" customHeight="1">
      <c r="D532" s="19"/>
      <c r="E532" s="19"/>
      <c r="F532" s="19"/>
      <c r="H532" s="19"/>
      <c r="I532" s="5"/>
      <c r="J532" s="19"/>
      <c r="K532" s="19"/>
      <c r="L532" s="19"/>
      <c r="O532" s="20"/>
      <c r="P532" s="20"/>
      <c r="Q532" s="19"/>
      <c r="S532" s="19"/>
      <c r="T532" s="19"/>
      <c r="U532" s="19"/>
      <c r="V532" s="19"/>
      <c r="W532" s="19"/>
      <c r="X532" s="19"/>
    </row>
    <row r="533" ht="15.75" customHeight="1">
      <c r="D533" s="19"/>
      <c r="E533" s="19"/>
      <c r="F533" s="19"/>
      <c r="H533" s="19"/>
      <c r="I533" s="5"/>
      <c r="J533" s="19"/>
      <c r="K533" s="19"/>
      <c r="L533" s="19"/>
      <c r="O533" s="20"/>
      <c r="P533" s="20"/>
      <c r="Q533" s="19"/>
      <c r="S533" s="19"/>
      <c r="T533" s="19"/>
      <c r="U533" s="19"/>
      <c r="V533" s="19"/>
      <c r="W533" s="19"/>
      <c r="X533" s="19"/>
    </row>
    <row r="534" ht="15.75" customHeight="1">
      <c r="D534" s="19"/>
      <c r="E534" s="19"/>
      <c r="F534" s="19"/>
      <c r="H534" s="19"/>
      <c r="I534" s="5"/>
      <c r="J534" s="19"/>
      <c r="K534" s="19"/>
      <c r="L534" s="19"/>
      <c r="O534" s="20"/>
      <c r="P534" s="20"/>
      <c r="Q534" s="19"/>
      <c r="S534" s="19"/>
      <c r="T534" s="19"/>
      <c r="U534" s="19"/>
      <c r="V534" s="19"/>
      <c r="W534" s="19"/>
      <c r="X534" s="19"/>
    </row>
    <row r="535" ht="15.75" customHeight="1">
      <c r="D535" s="19"/>
      <c r="E535" s="19"/>
      <c r="F535" s="19"/>
      <c r="H535" s="19"/>
      <c r="I535" s="5"/>
      <c r="J535" s="19"/>
      <c r="K535" s="19"/>
      <c r="L535" s="19"/>
      <c r="O535" s="20"/>
      <c r="P535" s="20"/>
      <c r="Q535" s="19"/>
      <c r="S535" s="19"/>
      <c r="T535" s="19"/>
      <c r="U535" s="19"/>
      <c r="V535" s="19"/>
      <c r="W535" s="19"/>
      <c r="X535" s="19"/>
    </row>
    <row r="536" ht="15.75" customHeight="1">
      <c r="D536" s="19"/>
      <c r="E536" s="19"/>
      <c r="F536" s="19"/>
      <c r="H536" s="19"/>
      <c r="I536" s="5"/>
      <c r="J536" s="19"/>
      <c r="K536" s="19"/>
      <c r="L536" s="19"/>
      <c r="O536" s="20"/>
      <c r="P536" s="20"/>
      <c r="Q536" s="19"/>
      <c r="S536" s="19"/>
      <c r="T536" s="19"/>
      <c r="U536" s="19"/>
      <c r="V536" s="19"/>
      <c r="W536" s="19"/>
      <c r="X536" s="19"/>
    </row>
    <row r="537" ht="15.75" customHeight="1">
      <c r="D537" s="19"/>
      <c r="E537" s="19"/>
      <c r="F537" s="19"/>
      <c r="H537" s="19"/>
      <c r="I537" s="5"/>
      <c r="J537" s="19"/>
      <c r="K537" s="19"/>
      <c r="L537" s="19"/>
      <c r="O537" s="20"/>
      <c r="P537" s="20"/>
      <c r="Q537" s="19"/>
      <c r="S537" s="19"/>
      <c r="T537" s="19"/>
      <c r="U537" s="19"/>
      <c r="V537" s="19"/>
      <c r="W537" s="19"/>
      <c r="X537" s="19"/>
    </row>
    <row r="538" ht="15.75" customHeight="1">
      <c r="D538" s="19"/>
      <c r="E538" s="19"/>
      <c r="F538" s="19"/>
      <c r="H538" s="19"/>
      <c r="I538" s="5"/>
      <c r="J538" s="19"/>
      <c r="K538" s="19"/>
      <c r="L538" s="19"/>
      <c r="O538" s="20"/>
      <c r="P538" s="20"/>
      <c r="Q538" s="19"/>
      <c r="S538" s="19"/>
      <c r="T538" s="19"/>
      <c r="U538" s="19"/>
      <c r="V538" s="19"/>
      <c r="W538" s="19"/>
      <c r="X538" s="19"/>
    </row>
    <row r="539" ht="15.75" customHeight="1">
      <c r="D539" s="19"/>
      <c r="E539" s="19"/>
      <c r="F539" s="19"/>
      <c r="H539" s="19"/>
      <c r="I539" s="5"/>
      <c r="J539" s="19"/>
      <c r="K539" s="19"/>
      <c r="L539" s="19"/>
      <c r="O539" s="20"/>
      <c r="P539" s="20"/>
      <c r="Q539" s="19"/>
      <c r="S539" s="19"/>
      <c r="T539" s="19"/>
      <c r="U539" s="19"/>
      <c r="V539" s="19"/>
      <c r="W539" s="19"/>
      <c r="X539" s="19"/>
    </row>
    <row r="540" ht="15.75" customHeight="1">
      <c r="D540" s="19"/>
      <c r="E540" s="19"/>
      <c r="F540" s="19"/>
      <c r="H540" s="19"/>
      <c r="I540" s="5"/>
      <c r="J540" s="19"/>
      <c r="K540" s="19"/>
      <c r="L540" s="19"/>
      <c r="O540" s="20"/>
      <c r="P540" s="20"/>
      <c r="Q540" s="19"/>
      <c r="S540" s="19"/>
      <c r="T540" s="19"/>
      <c r="U540" s="19"/>
      <c r="V540" s="19"/>
      <c r="W540" s="19"/>
      <c r="X540" s="19"/>
    </row>
    <row r="541" ht="15.75" customHeight="1">
      <c r="D541" s="19"/>
      <c r="E541" s="19"/>
      <c r="F541" s="19"/>
      <c r="H541" s="19"/>
      <c r="I541" s="5"/>
      <c r="J541" s="19"/>
      <c r="K541" s="19"/>
      <c r="L541" s="19"/>
      <c r="O541" s="20"/>
      <c r="P541" s="20"/>
      <c r="Q541" s="19"/>
      <c r="S541" s="19"/>
      <c r="T541" s="19"/>
      <c r="U541" s="19"/>
      <c r="V541" s="19"/>
      <c r="W541" s="19"/>
      <c r="X541" s="19"/>
    </row>
    <row r="542" ht="15.75" customHeight="1">
      <c r="D542" s="19"/>
      <c r="E542" s="19"/>
      <c r="F542" s="19"/>
      <c r="H542" s="19"/>
      <c r="I542" s="5"/>
      <c r="J542" s="19"/>
      <c r="K542" s="19"/>
      <c r="L542" s="19"/>
      <c r="O542" s="20"/>
      <c r="P542" s="20"/>
      <c r="Q542" s="19"/>
      <c r="S542" s="19"/>
      <c r="T542" s="19"/>
      <c r="U542" s="19"/>
      <c r="V542" s="19"/>
      <c r="W542" s="19"/>
      <c r="X542" s="19"/>
    </row>
    <row r="543" ht="15.75" customHeight="1">
      <c r="D543" s="19"/>
      <c r="E543" s="19"/>
      <c r="F543" s="19"/>
      <c r="H543" s="19"/>
      <c r="I543" s="5"/>
      <c r="J543" s="19"/>
      <c r="K543" s="19"/>
      <c r="L543" s="19"/>
      <c r="O543" s="20"/>
      <c r="P543" s="20"/>
      <c r="Q543" s="19"/>
      <c r="S543" s="19"/>
      <c r="T543" s="19"/>
      <c r="U543" s="19"/>
      <c r="V543" s="19"/>
      <c r="W543" s="19"/>
      <c r="X543" s="19"/>
    </row>
    <row r="544" ht="15.75" customHeight="1">
      <c r="D544" s="19"/>
      <c r="E544" s="19"/>
      <c r="F544" s="19"/>
      <c r="H544" s="19"/>
      <c r="I544" s="5"/>
      <c r="J544" s="19"/>
      <c r="K544" s="19"/>
      <c r="L544" s="19"/>
      <c r="O544" s="20"/>
      <c r="P544" s="20"/>
      <c r="Q544" s="19"/>
      <c r="S544" s="19"/>
      <c r="T544" s="19"/>
      <c r="U544" s="19"/>
      <c r="V544" s="19"/>
      <c r="W544" s="19"/>
      <c r="X544" s="19"/>
    </row>
    <row r="545" ht="15.75" customHeight="1">
      <c r="D545" s="19"/>
      <c r="E545" s="19"/>
      <c r="F545" s="19"/>
      <c r="H545" s="19"/>
      <c r="I545" s="5"/>
      <c r="J545" s="19"/>
      <c r="K545" s="19"/>
      <c r="L545" s="19"/>
      <c r="O545" s="20"/>
      <c r="P545" s="20"/>
      <c r="Q545" s="19"/>
      <c r="S545" s="19"/>
      <c r="T545" s="19"/>
      <c r="U545" s="19"/>
      <c r="V545" s="19"/>
      <c r="W545" s="19"/>
      <c r="X545" s="19"/>
    </row>
    <row r="546" ht="15.75" customHeight="1">
      <c r="D546" s="19"/>
      <c r="E546" s="19"/>
      <c r="F546" s="19"/>
      <c r="H546" s="19"/>
      <c r="I546" s="5"/>
      <c r="J546" s="19"/>
      <c r="K546" s="19"/>
      <c r="L546" s="19"/>
      <c r="O546" s="20"/>
      <c r="P546" s="20"/>
      <c r="Q546" s="19"/>
      <c r="S546" s="19"/>
      <c r="T546" s="19"/>
      <c r="U546" s="19"/>
      <c r="V546" s="19"/>
      <c r="W546" s="19"/>
      <c r="X546" s="19"/>
    </row>
    <row r="547" ht="15.75" customHeight="1">
      <c r="D547" s="19"/>
      <c r="E547" s="19"/>
      <c r="F547" s="19"/>
      <c r="H547" s="19"/>
      <c r="I547" s="5"/>
      <c r="J547" s="19"/>
      <c r="K547" s="19"/>
      <c r="L547" s="19"/>
      <c r="O547" s="20"/>
      <c r="P547" s="20"/>
      <c r="Q547" s="19"/>
      <c r="S547" s="19"/>
      <c r="T547" s="19"/>
      <c r="U547" s="19"/>
      <c r="V547" s="19"/>
      <c r="W547" s="19"/>
      <c r="X547" s="19"/>
    </row>
    <row r="548" ht="15.75" customHeight="1">
      <c r="D548" s="19"/>
      <c r="E548" s="19"/>
      <c r="F548" s="19"/>
      <c r="H548" s="19"/>
      <c r="I548" s="5"/>
      <c r="J548" s="19"/>
      <c r="K548" s="19"/>
      <c r="L548" s="19"/>
      <c r="O548" s="20"/>
      <c r="P548" s="20"/>
      <c r="Q548" s="19"/>
      <c r="S548" s="19"/>
      <c r="T548" s="19"/>
      <c r="U548" s="19"/>
      <c r="V548" s="19"/>
      <c r="W548" s="19"/>
      <c r="X548" s="19"/>
    </row>
    <row r="549" ht="15.75" customHeight="1">
      <c r="D549" s="19"/>
      <c r="E549" s="19"/>
      <c r="F549" s="19"/>
      <c r="H549" s="19"/>
      <c r="I549" s="5"/>
      <c r="J549" s="19"/>
      <c r="K549" s="19"/>
      <c r="L549" s="19"/>
      <c r="O549" s="20"/>
      <c r="P549" s="20"/>
      <c r="Q549" s="19"/>
      <c r="S549" s="19"/>
      <c r="T549" s="19"/>
      <c r="U549" s="19"/>
      <c r="V549" s="19"/>
      <c r="W549" s="19"/>
      <c r="X549" s="19"/>
    </row>
    <row r="550" ht="15.75" customHeight="1">
      <c r="D550" s="19"/>
      <c r="E550" s="19"/>
      <c r="F550" s="19"/>
      <c r="H550" s="19"/>
      <c r="I550" s="5"/>
      <c r="J550" s="19"/>
      <c r="K550" s="19"/>
      <c r="L550" s="19"/>
      <c r="O550" s="20"/>
      <c r="P550" s="20"/>
      <c r="Q550" s="19"/>
      <c r="S550" s="19"/>
      <c r="T550" s="19"/>
      <c r="U550" s="19"/>
      <c r="V550" s="19"/>
      <c r="W550" s="19"/>
      <c r="X550" s="19"/>
    </row>
    <row r="551" ht="15.75" customHeight="1">
      <c r="D551" s="19"/>
      <c r="E551" s="19"/>
      <c r="F551" s="19"/>
      <c r="H551" s="19"/>
      <c r="I551" s="5"/>
      <c r="J551" s="19"/>
      <c r="K551" s="19"/>
      <c r="L551" s="19"/>
      <c r="O551" s="20"/>
      <c r="P551" s="20"/>
      <c r="Q551" s="19"/>
      <c r="S551" s="19"/>
      <c r="T551" s="19"/>
      <c r="U551" s="19"/>
      <c r="V551" s="19"/>
      <c r="W551" s="19"/>
      <c r="X551" s="19"/>
    </row>
    <row r="552" ht="15.75" customHeight="1">
      <c r="D552" s="19"/>
      <c r="E552" s="19"/>
      <c r="F552" s="19"/>
      <c r="H552" s="19"/>
      <c r="I552" s="5"/>
      <c r="J552" s="19"/>
      <c r="K552" s="19"/>
      <c r="L552" s="19"/>
      <c r="O552" s="20"/>
      <c r="P552" s="20"/>
      <c r="Q552" s="19"/>
      <c r="S552" s="19"/>
      <c r="T552" s="19"/>
      <c r="U552" s="19"/>
      <c r="V552" s="19"/>
      <c r="W552" s="19"/>
      <c r="X552" s="19"/>
    </row>
    <row r="553" ht="15.75" customHeight="1">
      <c r="D553" s="19"/>
      <c r="E553" s="19"/>
      <c r="F553" s="19"/>
      <c r="H553" s="19"/>
      <c r="I553" s="5"/>
      <c r="J553" s="19"/>
      <c r="K553" s="19"/>
      <c r="L553" s="19"/>
      <c r="O553" s="20"/>
      <c r="P553" s="20"/>
      <c r="Q553" s="19"/>
      <c r="S553" s="19"/>
      <c r="T553" s="19"/>
      <c r="U553" s="19"/>
      <c r="V553" s="19"/>
      <c r="W553" s="19"/>
      <c r="X553" s="19"/>
    </row>
    <row r="554" ht="15.75" customHeight="1">
      <c r="D554" s="19"/>
      <c r="E554" s="19"/>
      <c r="F554" s="19"/>
      <c r="H554" s="19"/>
      <c r="I554" s="5"/>
      <c r="J554" s="19"/>
      <c r="K554" s="19"/>
      <c r="L554" s="19"/>
      <c r="O554" s="20"/>
      <c r="P554" s="20"/>
      <c r="Q554" s="19"/>
      <c r="S554" s="19"/>
      <c r="T554" s="19"/>
      <c r="U554" s="19"/>
      <c r="V554" s="19"/>
      <c r="W554" s="19"/>
      <c r="X554" s="19"/>
    </row>
    <row r="555" ht="15.75" customHeight="1">
      <c r="D555" s="19"/>
      <c r="E555" s="19"/>
      <c r="F555" s="19"/>
      <c r="H555" s="19"/>
      <c r="I555" s="5"/>
      <c r="J555" s="19"/>
      <c r="K555" s="19"/>
      <c r="L555" s="19"/>
      <c r="O555" s="20"/>
      <c r="P555" s="20"/>
      <c r="Q555" s="19"/>
      <c r="S555" s="19"/>
      <c r="T555" s="19"/>
      <c r="U555" s="19"/>
      <c r="V555" s="19"/>
      <c r="W555" s="19"/>
      <c r="X555" s="19"/>
    </row>
    <row r="556" ht="15.75" customHeight="1">
      <c r="D556" s="19"/>
      <c r="E556" s="19"/>
      <c r="F556" s="19"/>
      <c r="H556" s="19"/>
      <c r="I556" s="5"/>
      <c r="J556" s="19"/>
      <c r="K556" s="19"/>
      <c r="L556" s="19"/>
      <c r="O556" s="20"/>
      <c r="P556" s="20"/>
      <c r="Q556" s="19"/>
      <c r="S556" s="19"/>
      <c r="T556" s="19"/>
      <c r="U556" s="19"/>
      <c r="V556" s="19"/>
      <c r="W556" s="19"/>
      <c r="X556" s="19"/>
    </row>
    <row r="557" ht="15.75" customHeight="1">
      <c r="D557" s="19"/>
      <c r="E557" s="19"/>
      <c r="F557" s="19"/>
      <c r="H557" s="19"/>
      <c r="I557" s="5"/>
      <c r="J557" s="19"/>
      <c r="K557" s="19"/>
      <c r="L557" s="19"/>
      <c r="O557" s="20"/>
      <c r="P557" s="20"/>
      <c r="Q557" s="19"/>
      <c r="S557" s="19"/>
      <c r="T557" s="19"/>
      <c r="U557" s="19"/>
      <c r="V557" s="19"/>
      <c r="W557" s="19"/>
      <c r="X557" s="19"/>
    </row>
    <row r="558" ht="15.75" customHeight="1">
      <c r="D558" s="19"/>
      <c r="E558" s="19"/>
      <c r="F558" s="19"/>
      <c r="H558" s="19"/>
      <c r="I558" s="5"/>
      <c r="J558" s="19"/>
      <c r="K558" s="19"/>
      <c r="L558" s="19"/>
      <c r="O558" s="20"/>
      <c r="P558" s="20"/>
      <c r="Q558" s="19"/>
      <c r="S558" s="19"/>
      <c r="T558" s="19"/>
      <c r="U558" s="19"/>
      <c r="V558" s="19"/>
      <c r="W558" s="19"/>
      <c r="X558" s="19"/>
    </row>
    <row r="559" ht="15.75" customHeight="1">
      <c r="D559" s="19"/>
      <c r="E559" s="19"/>
      <c r="F559" s="19"/>
      <c r="H559" s="19"/>
      <c r="I559" s="5"/>
      <c r="J559" s="19"/>
      <c r="K559" s="19"/>
      <c r="L559" s="19"/>
      <c r="O559" s="20"/>
      <c r="P559" s="20"/>
      <c r="Q559" s="19"/>
      <c r="S559" s="19"/>
      <c r="T559" s="19"/>
      <c r="U559" s="19"/>
      <c r="V559" s="19"/>
      <c r="W559" s="19"/>
      <c r="X559" s="19"/>
    </row>
    <row r="560" ht="15.75" customHeight="1">
      <c r="D560" s="19"/>
      <c r="E560" s="19"/>
      <c r="F560" s="19"/>
      <c r="H560" s="19"/>
      <c r="I560" s="5"/>
      <c r="J560" s="19"/>
      <c r="K560" s="19"/>
      <c r="L560" s="19"/>
      <c r="O560" s="20"/>
      <c r="P560" s="20"/>
      <c r="Q560" s="19"/>
      <c r="S560" s="19"/>
      <c r="T560" s="19"/>
      <c r="U560" s="19"/>
      <c r="V560" s="19"/>
      <c r="W560" s="19"/>
      <c r="X560" s="19"/>
    </row>
    <row r="561" ht="15.75" customHeight="1">
      <c r="D561" s="19"/>
      <c r="E561" s="19"/>
      <c r="F561" s="19"/>
      <c r="H561" s="19"/>
      <c r="I561" s="5"/>
      <c r="J561" s="19"/>
      <c r="K561" s="19"/>
      <c r="L561" s="19"/>
      <c r="O561" s="20"/>
      <c r="P561" s="20"/>
      <c r="Q561" s="19"/>
      <c r="S561" s="19"/>
      <c r="T561" s="19"/>
      <c r="U561" s="19"/>
      <c r="V561" s="19"/>
      <c r="W561" s="19"/>
      <c r="X561" s="19"/>
    </row>
    <row r="562" ht="15.75" customHeight="1">
      <c r="D562" s="19"/>
      <c r="E562" s="19"/>
      <c r="F562" s="19"/>
      <c r="H562" s="19"/>
      <c r="I562" s="5"/>
      <c r="J562" s="19"/>
      <c r="K562" s="19"/>
      <c r="L562" s="19"/>
      <c r="O562" s="20"/>
      <c r="P562" s="20"/>
      <c r="Q562" s="19"/>
      <c r="S562" s="19"/>
      <c r="T562" s="19"/>
      <c r="U562" s="19"/>
      <c r="V562" s="19"/>
      <c r="W562" s="19"/>
      <c r="X562" s="19"/>
    </row>
    <row r="563" ht="15.75" customHeight="1">
      <c r="D563" s="19"/>
      <c r="E563" s="19"/>
      <c r="F563" s="19"/>
      <c r="H563" s="19"/>
      <c r="I563" s="5"/>
      <c r="J563" s="19"/>
      <c r="K563" s="19"/>
      <c r="L563" s="19"/>
      <c r="O563" s="20"/>
      <c r="P563" s="20"/>
      <c r="Q563" s="19"/>
      <c r="S563" s="19"/>
      <c r="T563" s="19"/>
      <c r="U563" s="19"/>
      <c r="V563" s="19"/>
      <c r="W563" s="19"/>
      <c r="X563" s="19"/>
    </row>
    <row r="564" ht="15.75" customHeight="1">
      <c r="D564" s="19"/>
      <c r="E564" s="19"/>
      <c r="F564" s="19"/>
      <c r="H564" s="19"/>
      <c r="I564" s="5"/>
      <c r="J564" s="19"/>
      <c r="K564" s="19"/>
      <c r="L564" s="19"/>
      <c r="O564" s="20"/>
      <c r="P564" s="20"/>
      <c r="Q564" s="19"/>
      <c r="S564" s="19"/>
      <c r="T564" s="19"/>
      <c r="U564" s="19"/>
      <c r="V564" s="19"/>
      <c r="W564" s="19"/>
      <c r="X564" s="19"/>
    </row>
    <row r="565" ht="15.75" customHeight="1">
      <c r="D565" s="19"/>
      <c r="E565" s="19"/>
      <c r="F565" s="19"/>
      <c r="H565" s="19"/>
      <c r="I565" s="5"/>
      <c r="J565" s="19"/>
      <c r="K565" s="19"/>
      <c r="L565" s="19"/>
      <c r="O565" s="20"/>
      <c r="P565" s="20"/>
      <c r="Q565" s="19"/>
      <c r="S565" s="19"/>
      <c r="T565" s="19"/>
      <c r="U565" s="19"/>
      <c r="V565" s="19"/>
      <c r="W565" s="19"/>
      <c r="X565" s="19"/>
    </row>
    <row r="566" ht="15.75" customHeight="1">
      <c r="D566" s="19"/>
      <c r="E566" s="19"/>
      <c r="F566" s="19"/>
      <c r="H566" s="19"/>
      <c r="I566" s="5"/>
      <c r="J566" s="19"/>
      <c r="K566" s="19"/>
      <c r="L566" s="19"/>
      <c r="O566" s="20"/>
      <c r="P566" s="20"/>
      <c r="Q566" s="19"/>
      <c r="S566" s="19"/>
      <c r="T566" s="19"/>
      <c r="U566" s="19"/>
      <c r="V566" s="19"/>
      <c r="W566" s="19"/>
      <c r="X566" s="19"/>
    </row>
    <row r="567" ht="15.75" customHeight="1">
      <c r="D567" s="19"/>
      <c r="E567" s="19"/>
      <c r="F567" s="19"/>
      <c r="H567" s="19"/>
      <c r="I567" s="5"/>
      <c r="J567" s="19"/>
      <c r="K567" s="19"/>
      <c r="L567" s="19"/>
      <c r="O567" s="20"/>
      <c r="P567" s="20"/>
      <c r="Q567" s="19"/>
      <c r="S567" s="19"/>
      <c r="T567" s="19"/>
      <c r="U567" s="19"/>
      <c r="V567" s="19"/>
      <c r="W567" s="19"/>
      <c r="X567" s="19"/>
    </row>
    <row r="568" ht="15.75" customHeight="1">
      <c r="D568" s="19"/>
      <c r="E568" s="19"/>
      <c r="F568" s="19"/>
      <c r="H568" s="19"/>
      <c r="I568" s="5"/>
      <c r="J568" s="19"/>
      <c r="K568" s="19"/>
      <c r="L568" s="19"/>
      <c r="O568" s="20"/>
      <c r="P568" s="20"/>
      <c r="Q568" s="19"/>
      <c r="S568" s="19"/>
      <c r="T568" s="19"/>
      <c r="U568" s="19"/>
      <c r="V568" s="19"/>
      <c r="W568" s="19"/>
      <c r="X568" s="19"/>
    </row>
    <row r="569" ht="15.75" customHeight="1">
      <c r="D569" s="19"/>
      <c r="E569" s="19"/>
      <c r="F569" s="19"/>
      <c r="H569" s="19"/>
      <c r="I569" s="5"/>
      <c r="J569" s="19"/>
      <c r="K569" s="19"/>
      <c r="L569" s="19"/>
      <c r="O569" s="20"/>
      <c r="P569" s="20"/>
      <c r="Q569" s="19"/>
      <c r="S569" s="19"/>
      <c r="T569" s="19"/>
      <c r="U569" s="19"/>
      <c r="V569" s="19"/>
      <c r="W569" s="19"/>
      <c r="X569" s="19"/>
    </row>
    <row r="570" ht="15.75" customHeight="1">
      <c r="D570" s="19"/>
      <c r="E570" s="19"/>
      <c r="F570" s="19"/>
      <c r="H570" s="19"/>
      <c r="I570" s="5"/>
      <c r="J570" s="19"/>
      <c r="K570" s="19"/>
      <c r="L570" s="19"/>
      <c r="O570" s="20"/>
      <c r="P570" s="20"/>
      <c r="Q570" s="19"/>
      <c r="S570" s="19"/>
      <c r="T570" s="19"/>
      <c r="U570" s="19"/>
      <c r="V570" s="19"/>
      <c r="W570" s="19"/>
      <c r="X570" s="19"/>
    </row>
    <row r="571" ht="15.75" customHeight="1">
      <c r="D571" s="19"/>
      <c r="E571" s="19"/>
      <c r="F571" s="19"/>
      <c r="H571" s="19"/>
      <c r="I571" s="5"/>
      <c r="J571" s="19"/>
      <c r="K571" s="19"/>
      <c r="L571" s="19"/>
      <c r="O571" s="20"/>
      <c r="P571" s="20"/>
      <c r="Q571" s="19"/>
      <c r="S571" s="19"/>
      <c r="T571" s="19"/>
      <c r="U571" s="19"/>
      <c r="V571" s="19"/>
      <c r="W571" s="19"/>
      <c r="X571" s="19"/>
    </row>
    <row r="572" ht="15.75" customHeight="1">
      <c r="D572" s="19"/>
      <c r="E572" s="19"/>
      <c r="F572" s="19"/>
      <c r="H572" s="19"/>
      <c r="I572" s="5"/>
      <c r="J572" s="19"/>
      <c r="K572" s="19"/>
      <c r="L572" s="19"/>
      <c r="O572" s="20"/>
      <c r="P572" s="20"/>
      <c r="Q572" s="19"/>
      <c r="S572" s="19"/>
      <c r="T572" s="19"/>
      <c r="U572" s="19"/>
      <c r="V572" s="19"/>
      <c r="W572" s="19"/>
      <c r="X572" s="19"/>
    </row>
    <row r="573" ht="15.75" customHeight="1">
      <c r="D573" s="19"/>
      <c r="E573" s="19"/>
      <c r="F573" s="19"/>
      <c r="H573" s="19"/>
      <c r="I573" s="5"/>
      <c r="J573" s="19"/>
      <c r="K573" s="19"/>
      <c r="L573" s="19"/>
      <c r="O573" s="20"/>
      <c r="P573" s="20"/>
      <c r="Q573" s="19"/>
      <c r="S573" s="19"/>
      <c r="T573" s="19"/>
      <c r="U573" s="19"/>
      <c r="V573" s="19"/>
      <c r="W573" s="19"/>
      <c r="X573" s="19"/>
    </row>
    <row r="574" ht="15.75" customHeight="1">
      <c r="D574" s="19"/>
      <c r="E574" s="19"/>
      <c r="F574" s="19"/>
      <c r="H574" s="19"/>
      <c r="I574" s="5"/>
      <c r="J574" s="19"/>
      <c r="K574" s="19"/>
      <c r="L574" s="19"/>
      <c r="O574" s="20"/>
      <c r="P574" s="20"/>
      <c r="Q574" s="19"/>
      <c r="S574" s="19"/>
      <c r="T574" s="19"/>
      <c r="U574" s="19"/>
      <c r="V574" s="19"/>
      <c r="W574" s="19"/>
      <c r="X574" s="19"/>
    </row>
    <row r="575" ht="15.75" customHeight="1">
      <c r="D575" s="19"/>
      <c r="E575" s="19"/>
      <c r="F575" s="19"/>
      <c r="H575" s="19"/>
      <c r="I575" s="5"/>
      <c r="J575" s="19"/>
      <c r="K575" s="19"/>
      <c r="L575" s="19"/>
      <c r="O575" s="20"/>
      <c r="P575" s="20"/>
      <c r="Q575" s="19"/>
      <c r="S575" s="19"/>
      <c r="T575" s="19"/>
      <c r="U575" s="19"/>
      <c r="V575" s="19"/>
      <c r="W575" s="19"/>
      <c r="X575" s="19"/>
    </row>
    <row r="576" ht="15.75" customHeight="1">
      <c r="D576" s="19"/>
      <c r="E576" s="19"/>
      <c r="F576" s="19"/>
      <c r="H576" s="19"/>
      <c r="I576" s="5"/>
      <c r="J576" s="19"/>
      <c r="K576" s="19"/>
      <c r="L576" s="19"/>
      <c r="O576" s="20"/>
      <c r="P576" s="20"/>
      <c r="Q576" s="19"/>
      <c r="S576" s="19"/>
      <c r="T576" s="19"/>
      <c r="U576" s="19"/>
      <c r="V576" s="19"/>
      <c r="W576" s="19"/>
      <c r="X576" s="19"/>
    </row>
    <row r="577" ht="15.75" customHeight="1">
      <c r="D577" s="19"/>
      <c r="E577" s="19"/>
      <c r="F577" s="19"/>
      <c r="H577" s="19"/>
      <c r="I577" s="5"/>
      <c r="J577" s="19"/>
      <c r="K577" s="19"/>
      <c r="L577" s="19"/>
      <c r="O577" s="20"/>
      <c r="P577" s="20"/>
      <c r="Q577" s="19"/>
      <c r="S577" s="19"/>
      <c r="T577" s="19"/>
      <c r="U577" s="19"/>
      <c r="V577" s="19"/>
      <c r="W577" s="19"/>
      <c r="X577" s="19"/>
    </row>
    <row r="578" ht="15.75" customHeight="1">
      <c r="D578" s="19"/>
      <c r="E578" s="19"/>
      <c r="F578" s="19"/>
      <c r="H578" s="19"/>
      <c r="I578" s="5"/>
      <c r="J578" s="19"/>
      <c r="K578" s="19"/>
      <c r="L578" s="19"/>
      <c r="O578" s="20"/>
      <c r="P578" s="20"/>
      <c r="Q578" s="19"/>
      <c r="S578" s="19"/>
      <c r="T578" s="19"/>
      <c r="U578" s="19"/>
      <c r="V578" s="19"/>
      <c r="W578" s="19"/>
      <c r="X578" s="19"/>
    </row>
    <row r="579" ht="15.75" customHeight="1">
      <c r="D579" s="19"/>
      <c r="E579" s="19"/>
      <c r="F579" s="19"/>
      <c r="H579" s="19"/>
      <c r="I579" s="5"/>
      <c r="J579" s="19"/>
      <c r="K579" s="19"/>
      <c r="L579" s="19"/>
      <c r="O579" s="20"/>
      <c r="P579" s="20"/>
      <c r="Q579" s="19"/>
      <c r="S579" s="19"/>
      <c r="T579" s="19"/>
      <c r="U579" s="19"/>
      <c r="V579" s="19"/>
      <c r="W579" s="19"/>
      <c r="X579" s="19"/>
    </row>
    <row r="580" ht="15.75" customHeight="1">
      <c r="D580" s="19"/>
      <c r="E580" s="19"/>
      <c r="F580" s="19"/>
      <c r="H580" s="19"/>
      <c r="I580" s="5"/>
      <c r="J580" s="19"/>
      <c r="K580" s="19"/>
      <c r="L580" s="19"/>
      <c r="O580" s="20"/>
      <c r="P580" s="20"/>
      <c r="Q580" s="19"/>
      <c r="S580" s="19"/>
      <c r="T580" s="19"/>
      <c r="U580" s="19"/>
      <c r="V580" s="19"/>
      <c r="W580" s="19"/>
      <c r="X580" s="19"/>
    </row>
    <row r="581" ht="15.75" customHeight="1">
      <c r="D581" s="19"/>
      <c r="E581" s="19"/>
      <c r="F581" s="19"/>
      <c r="H581" s="19"/>
      <c r="I581" s="5"/>
      <c r="J581" s="19"/>
      <c r="K581" s="19"/>
      <c r="L581" s="19"/>
      <c r="O581" s="20"/>
      <c r="P581" s="20"/>
      <c r="Q581" s="19"/>
      <c r="S581" s="19"/>
      <c r="T581" s="19"/>
      <c r="U581" s="19"/>
      <c r="V581" s="19"/>
      <c r="W581" s="19"/>
      <c r="X581" s="19"/>
    </row>
    <row r="582" ht="15.75" customHeight="1">
      <c r="D582" s="19"/>
      <c r="E582" s="19"/>
      <c r="F582" s="19"/>
      <c r="H582" s="19"/>
      <c r="I582" s="5"/>
      <c r="J582" s="19"/>
      <c r="K582" s="19"/>
      <c r="L582" s="19"/>
      <c r="O582" s="20"/>
      <c r="P582" s="20"/>
      <c r="Q582" s="19"/>
      <c r="S582" s="19"/>
      <c r="T582" s="19"/>
      <c r="U582" s="19"/>
      <c r="V582" s="19"/>
      <c r="W582" s="19"/>
      <c r="X582" s="19"/>
    </row>
    <row r="583" ht="15.75" customHeight="1">
      <c r="D583" s="19"/>
      <c r="E583" s="19"/>
      <c r="F583" s="19"/>
      <c r="H583" s="19"/>
      <c r="I583" s="5"/>
      <c r="J583" s="19"/>
      <c r="K583" s="19"/>
      <c r="L583" s="19"/>
      <c r="O583" s="20"/>
      <c r="P583" s="20"/>
      <c r="Q583" s="19"/>
      <c r="S583" s="19"/>
      <c r="T583" s="19"/>
      <c r="U583" s="19"/>
      <c r="V583" s="19"/>
      <c r="W583" s="19"/>
      <c r="X583" s="19"/>
    </row>
    <row r="584" ht="15.75" customHeight="1">
      <c r="D584" s="19"/>
      <c r="E584" s="19"/>
      <c r="F584" s="19"/>
      <c r="H584" s="19"/>
      <c r="I584" s="5"/>
      <c r="J584" s="19"/>
      <c r="K584" s="19"/>
      <c r="L584" s="19"/>
      <c r="O584" s="20"/>
      <c r="P584" s="20"/>
      <c r="Q584" s="19"/>
      <c r="S584" s="19"/>
      <c r="T584" s="19"/>
      <c r="U584" s="19"/>
      <c r="V584" s="19"/>
      <c r="W584" s="19"/>
      <c r="X584" s="19"/>
    </row>
    <row r="585" ht="15.75" customHeight="1">
      <c r="D585" s="19"/>
      <c r="E585" s="19"/>
      <c r="F585" s="19"/>
      <c r="H585" s="19"/>
      <c r="I585" s="5"/>
      <c r="J585" s="19"/>
      <c r="K585" s="19"/>
      <c r="L585" s="19"/>
      <c r="O585" s="20"/>
      <c r="P585" s="20"/>
      <c r="Q585" s="19"/>
      <c r="S585" s="19"/>
      <c r="T585" s="19"/>
      <c r="U585" s="19"/>
      <c r="V585" s="19"/>
      <c r="W585" s="19"/>
      <c r="X585" s="19"/>
    </row>
    <row r="586" ht="15.75" customHeight="1">
      <c r="D586" s="19"/>
      <c r="E586" s="19"/>
      <c r="F586" s="19"/>
      <c r="H586" s="19"/>
      <c r="I586" s="5"/>
      <c r="J586" s="19"/>
      <c r="K586" s="19"/>
      <c r="L586" s="19"/>
      <c r="O586" s="20"/>
      <c r="P586" s="20"/>
      <c r="Q586" s="19"/>
      <c r="S586" s="19"/>
      <c r="T586" s="19"/>
      <c r="U586" s="19"/>
      <c r="V586" s="19"/>
      <c r="W586" s="19"/>
      <c r="X586" s="19"/>
    </row>
    <row r="587" ht="15.75" customHeight="1">
      <c r="D587" s="19"/>
      <c r="E587" s="19"/>
      <c r="F587" s="19"/>
      <c r="H587" s="19"/>
      <c r="I587" s="5"/>
      <c r="J587" s="19"/>
      <c r="K587" s="19"/>
      <c r="L587" s="19"/>
      <c r="O587" s="20"/>
      <c r="P587" s="20"/>
      <c r="Q587" s="19"/>
      <c r="S587" s="19"/>
      <c r="T587" s="19"/>
      <c r="U587" s="19"/>
      <c r="V587" s="19"/>
      <c r="W587" s="19"/>
      <c r="X587" s="19"/>
    </row>
    <row r="588" ht="15.75" customHeight="1">
      <c r="D588" s="19"/>
      <c r="E588" s="19"/>
      <c r="F588" s="19"/>
      <c r="H588" s="19"/>
      <c r="I588" s="5"/>
      <c r="J588" s="19"/>
      <c r="K588" s="19"/>
      <c r="L588" s="19"/>
      <c r="O588" s="20"/>
      <c r="P588" s="20"/>
      <c r="Q588" s="19"/>
      <c r="S588" s="19"/>
      <c r="T588" s="19"/>
      <c r="U588" s="19"/>
      <c r="V588" s="19"/>
      <c r="W588" s="19"/>
      <c r="X588" s="19"/>
    </row>
    <row r="589" ht="15.75" customHeight="1">
      <c r="D589" s="19"/>
      <c r="E589" s="19"/>
      <c r="F589" s="19"/>
      <c r="H589" s="19"/>
      <c r="I589" s="5"/>
      <c r="J589" s="19"/>
      <c r="K589" s="19"/>
      <c r="L589" s="19"/>
      <c r="O589" s="20"/>
      <c r="P589" s="20"/>
      <c r="Q589" s="19"/>
      <c r="S589" s="19"/>
      <c r="T589" s="19"/>
      <c r="U589" s="19"/>
      <c r="V589" s="19"/>
      <c r="W589" s="19"/>
      <c r="X589" s="19"/>
    </row>
    <row r="590" ht="15.75" customHeight="1">
      <c r="D590" s="19"/>
      <c r="E590" s="19"/>
      <c r="F590" s="19"/>
      <c r="H590" s="19"/>
      <c r="I590" s="5"/>
      <c r="J590" s="19"/>
      <c r="K590" s="19"/>
      <c r="L590" s="19"/>
      <c r="O590" s="20"/>
      <c r="P590" s="20"/>
      <c r="Q590" s="19"/>
      <c r="S590" s="19"/>
      <c r="T590" s="19"/>
      <c r="U590" s="19"/>
      <c r="V590" s="19"/>
      <c r="W590" s="19"/>
      <c r="X590" s="19"/>
    </row>
    <row r="591" ht="15.75" customHeight="1">
      <c r="D591" s="19"/>
      <c r="E591" s="19"/>
      <c r="F591" s="19"/>
      <c r="H591" s="19"/>
      <c r="I591" s="5"/>
      <c r="J591" s="19"/>
      <c r="K591" s="19"/>
      <c r="L591" s="19"/>
      <c r="O591" s="20"/>
      <c r="P591" s="20"/>
      <c r="Q591" s="19"/>
      <c r="S591" s="19"/>
      <c r="T591" s="19"/>
      <c r="U591" s="19"/>
      <c r="V591" s="19"/>
      <c r="W591" s="19"/>
      <c r="X591" s="19"/>
    </row>
    <row r="592" ht="15.75" customHeight="1">
      <c r="D592" s="19"/>
      <c r="E592" s="19"/>
      <c r="F592" s="19"/>
      <c r="H592" s="19"/>
      <c r="I592" s="5"/>
      <c r="J592" s="19"/>
      <c r="K592" s="19"/>
      <c r="L592" s="19"/>
      <c r="O592" s="20"/>
      <c r="P592" s="20"/>
      <c r="Q592" s="19"/>
      <c r="S592" s="19"/>
      <c r="T592" s="19"/>
      <c r="U592" s="19"/>
      <c r="V592" s="19"/>
      <c r="W592" s="19"/>
      <c r="X592" s="19"/>
    </row>
    <row r="593" ht="15.75" customHeight="1">
      <c r="D593" s="19"/>
      <c r="E593" s="19"/>
      <c r="F593" s="19"/>
      <c r="H593" s="19"/>
      <c r="I593" s="5"/>
      <c r="J593" s="19"/>
      <c r="K593" s="19"/>
      <c r="L593" s="19"/>
      <c r="O593" s="20"/>
      <c r="P593" s="20"/>
      <c r="Q593" s="19"/>
      <c r="S593" s="19"/>
      <c r="T593" s="19"/>
      <c r="U593" s="19"/>
      <c r="V593" s="19"/>
      <c r="W593" s="19"/>
      <c r="X593" s="19"/>
    </row>
    <row r="594" ht="15.75" customHeight="1">
      <c r="D594" s="19"/>
      <c r="E594" s="19"/>
      <c r="F594" s="19"/>
      <c r="H594" s="19"/>
      <c r="I594" s="5"/>
      <c r="J594" s="19"/>
      <c r="K594" s="19"/>
      <c r="L594" s="19"/>
      <c r="O594" s="20"/>
      <c r="P594" s="20"/>
      <c r="Q594" s="19"/>
      <c r="S594" s="19"/>
      <c r="T594" s="19"/>
      <c r="U594" s="19"/>
      <c r="V594" s="19"/>
      <c r="W594" s="19"/>
      <c r="X594" s="19"/>
    </row>
    <row r="595" ht="15.75" customHeight="1">
      <c r="D595" s="19"/>
      <c r="E595" s="19"/>
      <c r="F595" s="19"/>
      <c r="H595" s="19"/>
      <c r="I595" s="5"/>
      <c r="J595" s="19"/>
      <c r="K595" s="19"/>
      <c r="L595" s="19"/>
      <c r="O595" s="20"/>
      <c r="P595" s="20"/>
      <c r="Q595" s="19"/>
      <c r="S595" s="19"/>
      <c r="T595" s="19"/>
      <c r="U595" s="19"/>
      <c r="V595" s="19"/>
      <c r="W595" s="19"/>
      <c r="X595" s="19"/>
    </row>
    <row r="596" ht="15.75" customHeight="1">
      <c r="D596" s="19"/>
      <c r="E596" s="19"/>
      <c r="F596" s="19"/>
      <c r="H596" s="19"/>
      <c r="I596" s="5"/>
      <c r="J596" s="19"/>
      <c r="K596" s="19"/>
      <c r="L596" s="19"/>
      <c r="O596" s="20"/>
      <c r="P596" s="20"/>
      <c r="Q596" s="19"/>
      <c r="S596" s="19"/>
      <c r="T596" s="19"/>
      <c r="U596" s="19"/>
      <c r="V596" s="19"/>
      <c r="W596" s="19"/>
      <c r="X596" s="19"/>
    </row>
    <row r="597" ht="15.75" customHeight="1">
      <c r="D597" s="19"/>
      <c r="E597" s="19"/>
      <c r="F597" s="19"/>
      <c r="H597" s="19"/>
      <c r="I597" s="5"/>
      <c r="J597" s="19"/>
      <c r="K597" s="19"/>
      <c r="L597" s="19"/>
      <c r="O597" s="20"/>
      <c r="P597" s="20"/>
      <c r="Q597" s="19"/>
      <c r="S597" s="19"/>
      <c r="T597" s="19"/>
      <c r="U597" s="19"/>
      <c r="V597" s="19"/>
      <c r="W597" s="19"/>
      <c r="X597" s="19"/>
    </row>
    <row r="598" ht="15.75" customHeight="1">
      <c r="D598" s="19"/>
      <c r="E598" s="19"/>
      <c r="F598" s="19"/>
      <c r="H598" s="19"/>
      <c r="I598" s="5"/>
      <c r="J598" s="19"/>
      <c r="K598" s="19"/>
      <c r="L598" s="19"/>
      <c r="O598" s="20"/>
      <c r="P598" s="20"/>
      <c r="Q598" s="19"/>
      <c r="S598" s="19"/>
      <c r="T598" s="19"/>
      <c r="U598" s="19"/>
      <c r="V598" s="19"/>
      <c r="W598" s="19"/>
      <c r="X598" s="19"/>
    </row>
    <row r="599" ht="15.75" customHeight="1">
      <c r="D599" s="19"/>
      <c r="E599" s="19"/>
      <c r="F599" s="19"/>
      <c r="H599" s="19"/>
      <c r="I599" s="5"/>
      <c r="J599" s="19"/>
      <c r="K599" s="19"/>
      <c r="L599" s="19"/>
      <c r="O599" s="20"/>
      <c r="P599" s="20"/>
      <c r="Q599" s="19"/>
      <c r="S599" s="19"/>
      <c r="T599" s="19"/>
      <c r="U599" s="19"/>
      <c r="V599" s="19"/>
      <c r="W599" s="19"/>
      <c r="X599" s="19"/>
    </row>
    <row r="600" ht="15.75" customHeight="1">
      <c r="D600" s="19"/>
      <c r="E600" s="19"/>
      <c r="F600" s="19"/>
      <c r="H600" s="19"/>
      <c r="I600" s="5"/>
      <c r="J600" s="19"/>
      <c r="K600" s="19"/>
      <c r="L600" s="19"/>
      <c r="O600" s="20"/>
      <c r="P600" s="20"/>
      <c r="Q600" s="19"/>
      <c r="S600" s="19"/>
      <c r="T600" s="19"/>
      <c r="U600" s="19"/>
      <c r="V600" s="19"/>
      <c r="W600" s="19"/>
      <c r="X600" s="19"/>
    </row>
    <row r="601" ht="15.75" customHeight="1">
      <c r="D601" s="19"/>
      <c r="E601" s="19"/>
      <c r="F601" s="19"/>
      <c r="H601" s="19"/>
      <c r="I601" s="5"/>
      <c r="J601" s="19"/>
      <c r="K601" s="19"/>
      <c r="L601" s="19"/>
      <c r="O601" s="20"/>
      <c r="P601" s="20"/>
      <c r="Q601" s="19"/>
      <c r="S601" s="19"/>
      <c r="T601" s="19"/>
      <c r="U601" s="19"/>
      <c r="V601" s="19"/>
      <c r="W601" s="19"/>
      <c r="X601" s="19"/>
    </row>
    <row r="602" ht="15.75" customHeight="1">
      <c r="D602" s="19"/>
      <c r="E602" s="19"/>
      <c r="F602" s="19"/>
      <c r="H602" s="19"/>
      <c r="I602" s="5"/>
      <c r="J602" s="19"/>
      <c r="K602" s="19"/>
      <c r="L602" s="19"/>
      <c r="O602" s="20"/>
      <c r="P602" s="20"/>
      <c r="Q602" s="19"/>
      <c r="S602" s="19"/>
      <c r="T602" s="19"/>
      <c r="U602" s="19"/>
      <c r="V602" s="19"/>
      <c r="W602" s="19"/>
      <c r="X602" s="19"/>
    </row>
    <row r="603" ht="15.75" customHeight="1">
      <c r="D603" s="19"/>
      <c r="E603" s="19"/>
      <c r="F603" s="19"/>
      <c r="H603" s="19"/>
      <c r="I603" s="5"/>
      <c r="J603" s="19"/>
      <c r="K603" s="19"/>
      <c r="L603" s="19"/>
      <c r="O603" s="20"/>
      <c r="P603" s="20"/>
      <c r="Q603" s="19"/>
      <c r="S603" s="19"/>
      <c r="T603" s="19"/>
      <c r="U603" s="19"/>
      <c r="V603" s="19"/>
      <c r="W603" s="19"/>
      <c r="X603" s="19"/>
    </row>
    <row r="604" ht="15.75" customHeight="1">
      <c r="D604" s="19"/>
      <c r="E604" s="19"/>
      <c r="F604" s="19"/>
      <c r="H604" s="19"/>
      <c r="I604" s="5"/>
      <c r="J604" s="19"/>
      <c r="K604" s="19"/>
      <c r="L604" s="19"/>
      <c r="O604" s="20"/>
      <c r="P604" s="20"/>
      <c r="Q604" s="19"/>
      <c r="S604" s="19"/>
      <c r="T604" s="19"/>
      <c r="U604" s="19"/>
      <c r="V604" s="19"/>
      <c r="W604" s="19"/>
      <c r="X604" s="19"/>
    </row>
    <row r="605" ht="15.75" customHeight="1">
      <c r="D605" s="19"/>
      <c r="E605" s="19"/>
      <c r="F605" s="19"/>
      <c r="H605" s="19"/>
      <c r="I605" s="5"/>
      <c r="J605" s="19"/>
      <c r="K605" s="19"/>
      <c r="L605" s="19"/>
      <c r="O605" s="20"/>
      <c r="P605" s="20"/>
      <c r="Q605" s="19"/>
      <c r="S605" s="19"/>
      <c r="T605" s="19"/>
      <c r="U605" s="19"/>
      <c r="V605" s="19"/>
      <c r="W605" s="19"/>
      <c r="X605" s="19"/>
    </row>
    <row r="606" ht="15.75" customHeight="1">
      <c r="D606" s="19"/>
      <c r="E606" s="19"/>
      <c r="F606" s="19"/>
      <c r="H606" s="19"/>
      <c r="I606" s="5"/>
      <c r="J606" s="19"/>
      <c r="K606" s="19"/>
      <c r="L606" s="19"/>
      <c r="O606" s="20"/>
      <c r="P606" s="20"/>
      <c r="Q606" s="19"/>
      <c r="S606" s="19"/>
      <c r="T606" s="19"/>
      <c r="U606" s="19"/>
      <c r="V606" s="19"/>
      <c r="W606" s="19"/>
      <c r="X606" s="19"/>
    </row>
    <row r="607" ht="15.75" customHeight="1">
      <c r="D607" s="19"/>
      <c r="E607" s="19"/>
      <c r="F607" s="19"/>
      <c r="H607" s="19"/>
      <c r="I607" s="5"/>
      <c r="J607" s="19"/>
      <c r="K607" s="19"/>
      <c r="L607" s="19"/>
      <c r="O607" s="20"/>
      <c r="P607" s="20"/>
      <c r="Q607" s="19"/>
      <c r="S607" s="19"/>
      <c r="T607" s="19"/>
      <c r="U607" s="19"/>
      <c r="V607" s="19"/>
      <c r="W607" s="19"/>
      <c r="X607" s="19"/>
    </row>
    <row r="608" ht="15.75" customHeight="1">
      <c r="D608" s="19"/>
      <c r="E608" s="19"/>
      <c r="F608" s="19"/>
      <c r="H608" s="19"/>
      <c r="I608" s="5"/>
      <c r="J608" s="19"/>
      <c r="K608" s="19"/>
      <c r="L608" s="19"/>
      <c r="O608" s="20"/>
      <c r="P608" s="20"/>
      <c r="Q608" s="19"/>
      <c r="S608" s="19"/>
      <c r="T608" s="19"/>
      <c r="U608" s="19"/>
      <c r="V608" s="19"/>
      <c r="W608" s="19"/>
      <c r="X608" s="19"/>
    </row>
    <row r="609" ht="15.75" customHeight="1">
      <c r="D609" s="19"/>
      <c r="E609" s="19"/>
      <c r="F609" s="19"/>
      <c r="H609" s="19"/>
      <c r="I609" s="5"/>
      <c r="J609" s="19"/>
      <c r="K609" s="19"/>
      <c r="L609" s="19"/>
      <c r="O609" s="20"/>
      <c r="P609" s="20"/>
      <c r="Q609" s="19"/>
      <c r="S609" s="19"/>
      <c r="T609" s="19"/>
      <c r="U609" s="19"/>
      <c r="V609" s="19"/>
      <c r="W609" s="19"/>
      <c r="X609" s="19"/>
    </row>
    <row r="610" ht="15.75" customHeight="1">
      <c r="D610" s="19"/>
      <c r="E610" s="19"/>
      <c r="F610" s="19"/>
      <c r="H610" s="19"/>
      <c r="I610" s="5"/>
      <c r="J610" s="19"/>
      <c r="K610" s="19"/>
      <c r="L610" s="19"/>
      <c r="O610" s="20"/>
      <c r="P610" s="20"/>
      <c r="Q610" s="19"/>
      <c r="S610" s="19"/>
      <c r="T610" s="19"/>
      <c r="U610" s="19"/>
      <c r="V610" s="19"/>
      <c r="W610" s="19"/>
      <c r="X610" s="19"/>
    </row>
    <row r="611" ht="15.75" customHeight="1">
      <c r="D611" s="19"/>
      <c r="E611" s="19"/>
      <c r="F611" s="19"/>
      <c r="H611" s="19"/>
      <c r="I611" s="5"/>
      <c r="J611" s="19"/>
      <c r="K611" s="19"/>
      <c r="L611" s="19"/>
      <c r="O611" s="20"/>
      <c r="P611" s="20"/>
      <c r="Q611" s="19"/>
      <c r="S611" s="19"/>
      <c r="T611" s="19"/>
      <c r="U611" s="19"/>
      <c r="V611" s="19"/>
      <c r="W611" s="19"/>
      <c r="X611" s="19"/>
    </row>
    <row r="612" ht="15.75" customHeight="1">
      <c r="D612" s="19"/>
      <c r="E612" s="19"/>
      <c r="F612" s="19"/>
      <c r="H612" s="19"/>
      <c r="I612" s="5"/>
      <c r="J612" s="19"/>
      <c r="K612" s="19"/>
      <c r="L612" s="19"/>
      <c r="O612" s="20"/>
      <c r="P612" s="20"/>
      <c r="Q612" s="19"/>
      <c r="S612" s="19"/>
      <c r="T612" s="19"/>
      <c r="U612" s="19"/>
      <c r="V612" s="19"/>
      <c r="W612" s="19"/>
      <c r="X612" s="19"/>
    </row>
    <row r="613" ht="15.75" customHeight="1">
      <c r="D613" s="19"/>
      <c r="E613" s="19"/>
      <c r="F613" s="19"/>
      <c r="H613" s="19"/>
      <c r="I613" s="5"/>
      <c r="J613" s="19"/>
      <c r="K613" s="19"/>
      <c r="L613" s="19"/>
      <c r="O613" s="20"/>
      <c r="P613" s="20"/>
      <c r="Q613" s="19"/>
      <c r="S613" s="19"/>
      <c r="T613" s="19"/>
      <c r="U613" s="19"/>
      <c r="V613" s="19"/>
      <c r="W613" s="19"/>
      <c r="X613" s="19"/>
    </row>
    <row r="614" ht="15.75" customHeight="1">
      <c r="D614" s="19"/>
      <c r="E614" s="19"/>
      <c r="F614" s="19"/>
      <c r="H614" s="19"/>
      <c r="I614" s="5"/>
      <c r="J614" s="19"/>
      <c r="K614" s="19"/>
      <c r="L614" s="19"/>
      <c r="O614" s="20"/>
      <c r="P614" s="20"/>
      <c r="Q614" s="19"/>
      <c r="S614" s="19"/>
      <c r="T614" s="19"/>
      <c r="U614" s="19"/>
      <c r="V614" s="19"/>
      <c r="W614" s="19"/>
      <c r="X614" s="19"/>
    </row>
    <row r="615" ht="15.75" customHeight="1">
      <c r="D615" s="19"/>
      <c r="E615" s="19"/>
      <c r="F615" s="19"/>
      <c r="H615" s="19"/>
      <c r="I615" s="5"/>
      <c r="J615" s="19"/>
      <c r="K615" s="19"/>
      <c r="L615" s="19"/>
      <c r="O615" s="20"/>
      <c r="P615" s="20"/>
      <c r="Q615" s="19"/>
      <c r="S615" s="19"/>
      <c r="T615" s="19"/>
      <c r="U615" s="19"/>
      <c r="V615" s="19"/>
      <c r="W615" s="19"/>
      <c r="X615" s="19"/>
    </row>
    <row r="616" ht="15.75" customHeight="1">
      <c r="D616" s="19"/>
      <c r="E616" s="19"/>
      <c r="F616" s="19"/>
      <c r="H616" s="19"/>
      <c r="I616" s="5"/>
      <c r="J616" s="19"/>
      <c r="K616" s="19"/>
      <c r="L616" s="19"/>
      <c r="O616" s="20"/>
      <c r="P616" s="20"/>
      <c r="Q616" s="19"/>
      <c r="S616" s="19"/>
      <c r="T616" s="19"/>
      <c r="U616" s="19"/>
      <c r="V616" s="19"/>
      <c r="W616" s="19"/>
      <c r="X616" s="19"/>
    </row>
    <row r="617" ht="15.75" customHeight="1">
      <c r="D617" s="19"/>
      <c r="E617" s="19"/>
      <c r="F617" s="19"/>
      <c r="H617" s="19"/>
      <c r="I617" s="5"/>
      <c r="J617" s="19"/>
      <c r="K617" s="19"/>
      <c r="L617" s="19"/>
      <c r="O617" s="20"/>
      <c r="P617" s="20"/>
      <c r="Q617" s="19"/>
      <c r="S617" s="19"/>
      <c r="T617" s="19"/>
      <c r="U617" s="19"/>
      <c r="V617" s="19"/>
      <c r="W617" s="19"/>
      <c r="X617" s="19"/>
    </row>
    <row r="618" ht="15.75" customHeight="1">
      <c r="D618" s="19"/>
      <c r="E618" s="19"/>
      <c r="F618" s="19"/>
      <c r="H618" s="19"/>
      <c r="I618" s="5"/>
      <c r="J618" s="19"/>
      <c r="K618" s="19"/>
      <c r="L618" s="19"/>
      <c r="O618" s="20"/>
      <c r="P618" s="20"/>
      <c r="Q618" s="19"/>
      <c r="S618" s="19"/>
      <c r="T618" s="19"/>
      <c r="U618" s="19"/>
      <c r="V618" s="19"/>
      <c r="W618" s="19"/>
      <c r="X618" s="19"/>
    </row>
    <row r="619" ht="15.75" customHeight="1">
      <c r="D619" s="19"/>
      <c r="E619" s="19"/>
      <c r="F619" s="19"/>
      <c r="H619" s="19"/>
      <c r="I619" s="5"/>
      <c r="J619" s="19"/>
      <c r="K619" s="19"/>
      <c r="L619" s="19"/>
      <c r="O619" s="20"/>
      <c r="P619" s="20"/>
      <c r="Q619" s="19"/>
      <c r="S619" s="19"/>
      <c r="T619" s="19"/>
      <c r="U619" s="19"/>
      <c r="V619" s="19"/>
      <c r="W619" s="19"/>
      <c r="X619" s="19"/>
    </row>
    <row r="620" ht="15.75" customHeight="1">
      <c r="D620" s="19"/>
      <c r="E620" s="19"/>
      <c r="F620" s="19"/>
      <c r="H620" s="19"/>
      <c r="I620" s="5"/>
      <c r="J620" s="19"/>
      <c r="K620" s="19"/>
      <c r="L620" s="19"/>
      <c r="O620" s="20"/>
      <c r="P620" s="20"/>
      <c r="Q620" s="19"/>
      <c r="S620" s="19"/>
      <c r="T620" s="19"/>
      <c r="U620" s="19"/>
      <c r="V620" s="19"/>
      <c r="W620" s="19"/>
      <c r="X620" s="19"/>
    </row>
    <row r="621" ht="15.75" customHeight="1">
      <c r="D621" s="19"/>
      <c r="E621" s="19"/>
      <c r="F621" s="19"/>
      <c r="H621" s="19"/>
      <c r="I621" s="5"/>
      <c r="J621" s="19"/>
      <c r="K621" s="19"/>
      <c r="L621" s="19"/>
      <c r="O621" s="20"/>
      <c r="P621" s="20"/>
      <c r="Q621" s="19"/>
      <c r="S621" s="19"/>
      <c r="T621" s="19"/>
      <c r="U621" s="19"/>
      <c r="V621" s="19"/>
      <c r="W621" s="19"/>
      <c r="X621" s="19"/>
    </row>
    <row r="622" ht="15.75" customHeight="1">
      <c r="D622" s="19"/>
      <c r="E622" s="19"/>
      <c r="F622" s="19"/>
      <c r="H622" s="19"/>
      <c r="I622" s="5"/>
      <c r="J622" s="19"/>
      <c r="K622" s="19"/>
      <c r="L622" s="19"/>
      <c r="O622" s="20"/>
      <c r="P622" s="20"/>
      <c r="Q622" s="19"/>
      <c r="S622" s="19"/>
      <c r="T622" s="19"/>
      <c r="U622" s="19"/>
      <c r="V622" s="19"/>
      <c r="W622" s="19"/>
      <c r="X622" s="19"/>
    </row>
    <row r="623" ht="15.75" customHeight="1">
      <c r="D623" s="19"/>
      <c r="E623" s="19"/>
      <c r="F623" s="19"/>
      <c r="H623" s="19"/>
      <c r="I623" s="5"/>
      <c r="J623" s="19"/>
      <c r="K623" s="19"/>
      <c r="L623" s="19"/>
      <c r="O623" s="20"/>
      <c r="P623" s="20"/>
      <c r="Q623" s="19"/>
      <c r="S623" s="19"/>
      <c r="T623" s="19"/>
      <c r="U623" s="19"/>
      <c r="V623" s="19"/>
      <c r="W623" s="19"/>
      <c r="X623" s="19"/>
    </row>
    <row r="624" ht="15.75" customHeight="1">
      <c r="D624" s="19"/>
      <c r="E624" s="19"/>
      <c r="F624" s="19"/>
      <c r="H624" s="19"/>
      <c r="I624" s="5"/>
      <c r="J624" s="19"/>
      <c r="K624" s="19"/>
      <c r="L624" s="19"/>
      <c r="O624" s="20"/>
      <c r="P624" s="20"/>
      <c r="Q624" s="19"/>
      <c r="S624" s="19"/>
      <c r="T624" s="19"/>
      <c r="U624" s="19"/>
      <c r="V624" s="19"/>
      <c r="W624" s="19"/>
      <c r="X624" s="19"/>
    </row>
    <row r="625" ht="15.75" customHeight="1">
      <c r="D625" s="19"/>
      <c r="E625" s="19"/>
      <c r="F625" s="19"/>
      <c r="H625" s="19"/>
      <c r="I625" s="5"/>
      <c r="J625" s="19"/>
      <c r="K625" s="19"/>
      <c r="L625" s="19"/>
      <c r="O625" s="20"/>
      <c r="P625" s="20"/>
      <c r="Q625" s="19"/>
      <c r="S625" s="19"/>
      <c r="T625" s="19"/>
      <c r="U625" s="19"/>
      <c r="V625" s="19"/>
      <c r="W625" s="19"/>
      <c r="X625" s="19"/>
    </row>
    <row r="626" ht="15.75" customHeight="1">
      <c r="D626" s="19"/>
      <c r="E626" s="19"/>
      <c r="F626" s="19"/>
      <c r="H626" s="19"/>
      <c r="I626" s="5"/>
      <c r="J626" s="19"/>
      <c r="K626" s="19"/>
      <c r="L626" s="19"/>
      <c r="O626" s="20"/>
      <c r="P626" s="20"/>
      <c r="Q626" s="19"/>
      <c r="S626" s="19"/>
      <c r="T626" s="19"/>
      <c r="U626" s="19"/>
      <c r="V626" s="19"/>
      <c r="W626" s="19"/>
      <c r="X626" s="19"/>
    </row>
    <row r="627" ht="15.75" customHeight="1">
      <c r="D627" s="19"/>
      <c r="E627" s="19"/>
      <c r="F627" s="19"/>
      <c r="H627" s="19"/>
      <c r="I627" s="5"/>
      <c r="J627" s="19"/>
      <c r="K627" s="19"/>
      <c r="L627" s="19"/>
      <c r="O627" s="20"/>
      <c r="P627" s="20"/>
      <c r="Q627" s="19"/>
      <c r="S627" s="19"/>
      <c r="T627" s="19"/>
      <c r="U627" s="19"/>
      <c r="V627" s="19"/>
      <c r="W627" s="19"/>
      <c r="X627" s="19"/>
    </row>
    <row r="628" ht="15.75" customHeight="1">
      <c r="D628" s="19"/>
      <c r="E628" s="19"/>
      <c r="F628" s="19"/>
      <c r="H628" s="19"/>
      <c r="I628" s="5"/>
      <c r="J628" s="19"/>
      <c r="K628" s="19"/>
      <c r="L628" s="19"/>
      <c r="O628" s="20"/>
      <c r="P628" s="20"/>
      <c r="Q628" s="19"/>
      <c r="S628" s="19"/>
      <c r="T628" s="19"/>
      <c r="U628" s="19"/>
      <c r="V628" s="19"/>
      <c r="W628" s="19"/>
      <c r="X628" s="19"/>
    </row>
    <row r="629" ht="15.75" customHeight="1">
      <c r="D629" s="19"/>
      <c r="E629" s="19"/>
      <c r="F629" s="19"/>
      <c r="H629" s="19"/>
      <c r="I629" s="5"/>
      <c r="J629" s="19"/>
      <c r="K629" s="19"/>
      <c r="L629" s="19"/>
      <c r="O629" s="20"/>
      <c r="P629" s="20"/>
      <c r="Q629" s="19"/>
      <c r="S629" s="19"/>
      <c r="T629" s="19"/>
      <c r="U629" s="19"/>
      <c r="V629" s="19"/>
      <c r="W629" s="19"/>
      <c r="X629" s="19"/>
    </row>
    <row r="630" ht="15.75" customHeight="1">
      <c r="D630" s="19"/>
      <c r="E630" s="19"/>
      <c r="F630" s="19"/>
      <c r="H630" s="19"/>
      <c r="I630" s="5"/>
      <c r="J630" s="19"/>
      <c r="K630" s="19"/>
      <c r="L630" s="19"/>
      <c r="O630" s="20"/>
      <c r="P630" s="20"/>
      <c r="Q630" s="19"/>
      <c r="S630" s="19"/>
      <c r="T630" s="19"/>
      <c r="U630" s="19"/>
      <c r="V630" s="19"/>
      <c r="W630" s="19"/>
      <c r="X630" s="19"/>
    </row>
    <row r="631" ht="15.75" customHeight="1">
      <c r="D631" s="19"/>
      <c r="E631" s="19"/>
      <c r="F631" s="19"/>
      <c r="H631" s="19"/>
      <c r="I631" s="5"/>
      <c r="J631" s="19"/>
      <c r="K631" s="19"/>
      <c r="L631" s="19"/>
      <c r="O631" s="20"/>
      <c r="P631" s="20"/>
      <c r="Q631" s="19"/>
      <c r="S631" s="19"/>
      <c r="T631" s="19"/>
      <c r="U631" s="19"/>
      <c r="V631" s="19"/>
      <c r="W631" s="19"/>
      <c r="X631" s="19"/>
    </row>
    <row r="632" ht="15.75" customHeight="1">
      <c r="D632" s="19"/>
      <c r="E632" s="19"/>
      <c r="F632" s="19"/>
      <c r="H632" s="19"/>
      <c r="I632" s="5"/>
      <c r="J632" s="19"/>
      <c r="K632" s="19"/>
      <c r="L632" s="19"/>
      <c r="O632" s="20"/>
      <c r="P632" s="20"/>
      <c r="Q632" s="19"/>
      <c r="S632" s="19"/>
      <c r="T632" s="19"/>
      <c r="U632" s="19"/>
      <c r="V632" s="19"/>
      <c r="W632" s="19"/>
      <c r="X632" s="19"/>
    </row>
    <row r="633" ht="15.75" customHeight="1">
      <c r="D633" s="19"/>
      <c r="E633" s="19"/>
      <c r="F633" s="19"/>
      <c r="H633" s="19"/>
      <c r="I633" s="5"/>
      <c r="J633" s="19"/>
      <c r="K633" s="19"/>
      <c r="L633" s="19"/>
      <c r="O633" s="20"/>
      <c r="P633" s="20"/>
      <c r="Q633" s="19"/>
      <c r="S633" s="19"/>
      <c r="T633" s="19"/>
      <c r="U633" s="19"/>
      <c r="V633" s="19"/>
      <c r="W633" s="19"/>
      <c r="X633" s="19"/>
    </row>
    <row r="634" ht="15.75" customHeight="1">
      <c r="D634" s="19"/>
      <c r="E634" s="19"/>
      <c r="F634" s="19"/>
      <c r="H634" s="19"/>
      <c r="I634" s="5"/>
      <c r="J634" s="19"/>
      <c r="K634" s="19"/>
      <c r="L634" s="19"/>
      <c r="O634" s="20"/>
      <c r="P634" s="20"/>
      <c r="Q634" s="19"/>
      <c r="S634" s="19"/>
      <c r="T634" s="19"/>
      <c r="U634" s="19"/>
      <c r="V634" s="19"/>
      <c r="W634" s="19"/>
      <c r="X634" s="19"/>
    </row>
    <row r="635" ht="15.75" customHeight="1">
      <c r="D635" s="19"/>
      <c r="E635" s="19"/>
      <c r="F635" s="19"/>
      <c r="H635" s="19"/>
      <c r="I635" s="5"/>
      <c r="J635" s="19"/>
      <c r="K635" s="19"/>
      <c r="L635" s="19"/>
      <c r="O635" s="20"/>
      <c r="P635" s="20"/>
      <c r="Q635" s="19"/>
      <c r="S635" s="19"/>
      <c r="T635" s="19"/>
      <c r="U635" s="19"/>
      <c r="V635" s="19"/>
      <c r="W635" s="19"/>
      <c r="X635" s="19"/>
    </row>
    <row r="636" ht="15.75" customHeight="1">
      <c r="D636" s="19"/>
      <c r="E636" s="19"/>
      <c r="F636" s="19"/>
      <c r="H636" s="19"/>
      <c r="I636" s="5"/>
      <c r="J636" s="19"/>
      <c r="K636" s="19"/>
      <c r="L636" s="19"/>
      <c r="O636" s="20"/>
      <c r="P636" s="20"/>
      <c r="Q636" s="19"/>
      <c r="S636" s="19"/>
      <c r="T636" s="19"/>
      <c r="U636" s="19"/>
      <c r="V636" s="19"/>
      <c r="W636" s="19"/>
      <c r="X636" s="19"/>
    </row>
    <row r="637" ht="15.75" customHeight="1">
      <c r="D637" s="19"/>
      <c r="E637" s="19"/>
      <c r="F637" s="19"/>
      <c r="H637" s="19"/>
      <c r="I637" s="5"/>
      <c r="J637" s="19"/>
      <c r="K637" s="19"/>
      <c r="L637" s="19"/>
      <c r="O637" s="20"/>
      <c r="P637" s="20"/>
      <c r="Q637" s="19"/>
      <c r="S637" s="19"/>
      <c r="T637" s="19"/>
      <c r="U637" s="19"/>
      <c r="V637" s="19"/>
      <c r="W637" s="19"/>
      <c r="X637" s="19"/>
    </row>
    <row r="638" ht="15.75" customHeight="1">
      <c r="D638" s="19"/>
      <c r="E638" s="19"/>
      <c r="F638" s="19"/>
      <c r="H638" s="19"/>
      <c r="I638" s="5"/>
      <c r="J638" s="19"/>
      <c r="K638" s="19"/>
      <c r="L638" s="19"/>
      <c r="O638" s="20"/>
      <c r="P638" s="20"/>
      <c r="Q638" s="19"/>
      <c r="S638" s="19"/>
      <c r="T638" s="19"/>
      <c r="U638" s="19"/>
      <c r="V638" s="19"/>
      <c r="W638" s="19"/>
      <c r="X638" s="19"/>
    </row>
    <row r="639" ht="15.75" customHeight="1">
      <c r="D639" s="19"/>
      <c r="E639" s="19"/>
      <c r="F639" s="19"/>
      <c r="H639" s="19"/>
      <c r="I639" s="5"/>
      <c r="J639" s="19"/>
      <c r="K639" s="19"/>
      <c r="L639" s="19"/>
      <c r="O639" s="20"/>
      <c r="P639" s="20"/>
      <c r="Q639" s="19"/>
      <c r="S639" s="19"/>
      <c r="T639" s="19"/>
      <c r="U639" s="19"/>
      <c r="V639" s="19"/>
      <c r="W639" s="19"/>
      <c r="X639" s="19"/>
    </row>
    <row r="640" ht="15.75" customHeight="1">
      <c r="D640" s="19"/>
      <c r="E640" s="19"/>
      <c r="F640" s="19"/>
      <c r="H640" s="19"/>
      <c r="I640" s="5"/>
      <c r="J640" s="19"/>
      <c r="K640" s="19"/>
      <c r="L640" s="19"/>
      <c r="O640" s="20"/>
      <c r="P640" s="20"/>
      <c r="Q640" s="19"/>
      <c r="S640" s="19"/>
      <c r="T640" s="19"/>
      <c r="U640" s="19"/>
      <c r="V640" s="19"/>
      <c r="W640" s="19"/>
      <c r="X640" s="19"/>
    </row>
    <row r="641" ht="15.75" customHeight="1">
      <c r="D641" s="19"/>
      <c r="E641" s="19"/>
      <c r="F641" s="19"/>
      <c r="H641" s="19"/>
      <c r="I641" s="5"/>
      <c r="J641" s="19"/>
      <c r="K641" s="19"/>
      <c r="L641" s="19"/>
      <c r="O641" s="20"/>
      <c r="P641" s="20"/>
      <c r="Q641" s="19"/>
      <c r="S641" s="19"/>
      <c r="T641" s="19"/>
      <c r="U641" s="19"/>
      <c r="V641" s="19"/>
      <c r="W641" s="19"/>
      <c r="X641" s="19"/>
    </row>
    <row r="642" ht="15.75" customHeight="1">
      <c r="D642" s="19"/>
      <c r="E642" s="19"/>
      <c r="F642" s="19"/>
      <c r="H642" s="19"/>
      <c r="I642" s="5"/>
      <c r="J642" s="19"/>
      <c r="K642" s="19"/>
      <c r="L642" s="19"/>
      <c r="O642" s="20"/>
      <c r="P642" s="20"/>
      <c r="Q642" s="19"/>
      <c r="S642" s="19"/>
      <c r="T642" s="19"/>
      <c r="U642" s="19"/>
      <c r="V642" s="19"/>
      <c r="W642" s="19"/>
      <c r="X642" s="19"/>
    </row>
    <row r="643" ht="15.75" customHeight="1">
      <c r="D643" s="19"/>
      <c r="E643" s="19"/>
      <c r="F643" s="19"/>
      <c r="H643" s="19"/>
      <c r="I643" s="5"/>
      <c r="J643" s="19"/>
      <c r="K643" s="19"/>
      <c r="L643" s="19"/>
      <c r="O643" s="20"/>
      <c r="P643" s="20"/>
      <c r="Q643" s="19"/>
      <c r="S643" s="19"/>
      <c r="T643" s="19"/>
      <c r="U643" s="19"/>
      <c r="V643" s="19"/>
      <c r="W643" s="19"/>
      <c r="X643" s="19"/>
    </row>
    <row r="644" ht="15.75" customHeight="1">
      <c r="D644" s="19"/>
      <c r="E644" s="19"/>
      <c r="F644" s="19"/>
      <c r="H644" s="19"/>
      <c r="I644" s="5"/>
      <c r="J644" s="19"/>
      <c r="K644" s="19"/>
      <c r="L644" s="19"/>
      <c r="O644" s="20"/>
      <c r="P644" s="20"/>
      <c r="Q644" s="19"/>
      <c r="S644" s="19"/>
      <c r="T644" s="19"/>
      <c r="U644" s="19"/>
      <c r="V644" s="19"/>
      <c r="W644" s="19"/>
      <c r="X644" s="19"/>
    </row>
    <row r="645" ht="15.75" customHeight="1">
      <c r="D645" s="19"/>
      <c r="E645" s="19"/>
      <c r="F645" s="19"/>
      <c r="H645" s="19"/>
      <c r="I645" s="5"/>
      <c r="J645" s="19"/>
      <c r="K645" s="19"/>
      <c r="L645" s="19"/>
      <c r="O645" s="20"/>
      <c r="P645" s="20"/>
      <c r="Q645" s="19"/>
      <c r="S645" s="19"/>
      <c r="T645" s="19"/>
      <c r="U645" s="19"/>
      <c r="V645" s="19"/>
      <c r="W645" s="19"/>
      <c r="X645" s="19"/>
    </row>
    <row r="646" ht="15.75" customHeight="1">
      <c r="D646" s="19"/>
      <c r="E646" s="19"/>
      <c r="F646" s="19"/>
      <c r="H646" s="19"/>
      <c r="I646" s="5"/>
      <c r="J646" s="19"/>
      <c r="K646" s="19"/>
      <c r="L646" s="19"/>
      <c r="O646" s="20"/>
      <c r="P646" s="20"/>
      <c r="Q646" s="19"/>
      <c r="S646" s="19"/>
      <c r="T646" s="19"/>
      <c r="U646" s="19"/>
      <c r="V646" s="19"/>
      <c r="W646" s="19"/>
      <c r="X646" s="19"/>
    </row>
    <row r="647" ht="15.75" customHeight="1">
      <c r="D647" s="19"/>
      <c r="E647" s="19"/>
      <c r="F647" s="19"/>
      <c r="H647" s="19"/>
      <c r="I647" s="5"/>
      <c r="J647" s="19"/>
      <c r="K647" s="19"/>
      <c r="L647" s="19"/>
      <c r="O647" s="20"/>
      <c r="P647" s="20"/>
      <c r="Q647" s="19"/>
      <c r="S647" s="19"/>
      <c r="T647" s="19"/>
      <c r="U647" s="19"/>
      <c r="V647" s="19"/>
      <c r="W647" s="19"/>
      <c r="X647" s="19"/>
    </row>
    <row r="648" ht="15.75" customHeight="1">
      <c r="D648" s="19"/>
      <c r="E648" s="19"/>
      <c r="F648" s="19"/>
      <c r="H648" s="19"/>
      <c r="I648" s="5"/>
      <c r="J648" s="19"/>
      <c r="K648" s="19"/>
      <c r="L648" s="19"/>
      <c r="O648" s="20"/>
      <c r="P648" s="20"/>
      <c r="Q648" s="19"/>
      <c r="S648" s="19"/>
      <c r="T648" s="19"/>
      <c r="U648" s="19"/>
      <c r="V648" s="19"/>
      <c r="W648" s="19"/>
      <c r="X648" s="19"/>
    </row>
    <row r="649" ht="15.75" customHeight="1">
      <c r="D649" s="19"/>
      <c r="E649" s="19"/>
      <c r="F649" s="19"/>
      <c r="H649" s="19"/>
      <c r="I649" s="5"/>
      <c r="J649" s="19"/>
      <c r="K649" s="19"/>
      <c r="L649" s="19"/>
      <c r="O649" s="20"/>
      <c r="P649" s="20"/>
      <c r="Q649" s="19"/>
      <c r="S649" s="19"/>
      <c r="T649" s="19"/>
      <c r="U649" s="19"/>
      <c r="V649" s="19"/>
      <c r="W649" s="19"/>
      <c r="X649" s="19"/>
    </row>
    <row r="650" ht="15.75" customHeight="1">
      <c r="D650" s="19"/>
      <c r="E650" s="19"/>
      <c r="F650" s="19"/>
      <c r="H650" s="19"/>
      <c r="I650" s="5"/>
      <c r="J650" s="19"/>
      <c r="K650" s="19"/>
      <c r="L650" s="19"/>
      <c r="O650" s="20"/>
      <c r="P650" s="20"/>
      <c r="Q650" s="19"/>
      <c r="S650" s="19"/>
      <c r="T650" s="19"/>
      <c r="U650" s="19"/>
      <c r="V650" s="19"/>
      <c r="W650" s="19"/>
      <c r="X650" s="19"/>
    </row>
    <row r="651" ht="15.75" customHeight="1">
      <c r="D651" s="19"/>
      <c r="E651" s="19"/>
      <c r="F651" s="19"/>
      <c r="H651" s="19"/>
      <c r="I651" s="5"/>
      <c r="J651" s="19"/>
      <c r="K651" s="19"/>
      <c r="L651" s="19"/>
      <c r="O651" s="20"/>
      <c r="P651" s="20"/>
      <c r="Q651" s="19"/>
      <c r="S651" s="19"/>
      <c r="T651" s="19"/>
      <c r="U651" s="19"/>
      <c r="V651" s="19"/>
      <c r="W651" s="19"/>
      <c r="X651" s="19"/>
    </row>
    <row r="652" ht="15.75" customHeight="1">
      <c r="D652" s="19"/>
      <c r="E652" s="19"/>
      <c r="F652" s="19"/>
      <c r="H652" s="19"/>
      <c r="I652" s="5"/>
      <c r="J652" s="19"/>
      <c r="K652" s="19"/>
      <c r="L652" s="19"/>
      <c r="O652" s="20"/>
      <c r="P652" s="20"/>
      <c r="Q652" s="19"/>
      <c r="S652" s="19"/>
      <c r="T652" s="19"/>
      <c r="U652" s="19"/>
      <c r="V652" s="19"/>
      <c r="W652" s="19"/>
      <c r="X652" s="19"/>
    </row>
    <row r="653" ht="15.75" customHeight="1">
      <c r="D653" s="19"/>
      <c r="E653" s="19"/>
      <c r="F653" s="19"/>
      <c r="H653" s="19"/>
      <c r="I653" s="5"/>
      <c r="J653" s="19"/>
      <c r="K653" s="19"/>
      <c r="L653" s="19"/>
      <c r="O653" s="20"/>
      <c r="P653" s="20"/>
      <c r="Q653" s="19"/>
      <c r="S653" s="19"/>
      <c r="T653" s="19"/>
      <c r="U653" s="19"/>
      <c r="V653" s="19"/>
      <c r="W653" s="19"/>
      <c r="X653" s="19"/>
    </row>
    <row r="654" ht="15.75" customHeight="1">
      <c r="D654" s="19"/>
      <c r="E654" s="19"/>
      <c r="F654" s="19"/>
      <c r="H654" s="19"/>
      <c r="I654" s="5"/>
      <c r="J654" s="19"/>
      <c r="K654" s="19"/>
      <c r="L654" s="19"/>
      <c r="O654" s="20"/>
      <c r="P654" s="20"/>
      <c r="Q654" s="19"/>
      <c r="S654" s="19"/>
      <c r="T654" s="19"/>
      <c r="U654" s="19"/>
      <c r="V654" s="19"/>
      <c r="W654" s="19"/>
      <c r="X654" s="19"/>
    </row>
    <row r="655" ht="15.75" customHeight="1">
      <c r="D655" s="19"/>
      <c r="E655" s="19"/>
      <c r="F655" s="19"/>
      <c r="H655" s="19"/>
      <c r="I655" s="5"/>
      <c r="J655" s="19"/>
      <c r="K655" s="19"/>
      <c r="L655" s="19"/>
      <c r="O655" s="20"/>
      <c r="P655" s="20"/>
      <c r="Q655" s="19"/>
      <c r="S655" s="19"/>
      <c r="T655" s="19"/>
      <c r="U655" s="19"/>
      <c r="V655" s="19"/>
      <c r="W655" s="19"/>
      <c r="X655" s="19"/>
    </row>
    <row r="656" ht="15.75" customHeight="1">
      <c r="D656" s="19"/>
      <c r="E656" s="19"/>
      <c r="F656" s="19"/>
      <c r="H656" s="19"/>
      <c r="I656" s="5"/>
      <c r="J656" s="19"/>
      <c r="K656" s="19"/>
      <c r="L656" s="19"/>
      <c r="O656" s="20"/>
      <c r="P656" s="20"/>
      <c r="Q656" s="19"/>
      <c r="S656" s="19"/>
      <c r="T656" s="19"/>
      <c r="U656" s="19"/>
      <c r="V656" s="19"/>
      <c r="W656" s="19"/>
      <c r="X656" s="19"/>
    </row>
    <row r="657" ht="15.75" customHeight="1">
      <c r="D657" s="19"/>
      <c r="E657" s="19"/>
      <c r="F657" s="19"/>
      <c r="H657" s="19"/>
      <c r="I657" s="5"/>
      <c r="J657" s="19"/>
      <c r="K657" s="19"/>
      <c r="L657" s="19"/>
      <c r="O657" s="20"/>
      <c r="P657" s="20"/>
      <c r="Q657" s="19"/>
      <c r="S657" s="19"/>
      <c r="T657" s="19"/>
      <c r="U657" s="19"/>
      <c r="V657" s="19"/>
      <c r="W657" s="19"/>
      <c r="X657" s="19"/>
    </row>
    <row r="658" ht="15.75" customHeight="1">
      <c r="D658" s="19"/>
      <c r="E658" s="19"/>
      <c r="F658" s="19"/>
      <c r="H658" s="19"/>
      <c r="I658" s="5"/>
      <c r="J658" s="19"/>
      <c r="K658" s="19"/>
      <c r="L658" s="19"/>
      <c r="O658" s="20"/>
      <c r="P658" s="20"/>
      <c r="Q658" s="19"/>
      <c r="S658" s="19"/>
      <c r="T658" s="19"/>
      <c r="U658" s="19"/>
      <c r="V658" s="19"/>
      <c r="W658" s="19"/>
      <c r="X658" s="19"/>
    </row>
    <row r="659" ht="15.75" customHeight="1">
      <c r="D659" s="19"/>
      <c r="E659" s="19"/>
      <c r="F659" s="19"/>
      <c r="H659" s="19"/>
      <c r="I659" s="5"/>
      <c r="J659" s="19"/>
      <c r="K659" s="19"/>
      <c r="L659" s="19"/>
      <c r="O659" s="20"/>
      <c r="P659" s="20"/>
      <c r="Q659" s="19"/>
      <c r="S659" s="19"/>
      <c r="T659" s="19"/>
      <c r="U659" s="19"/>
      <c r="V659" s="19"/>
      <c r="W659" s="19"/>
      <c r="X659" s="19"/>
    </row>
    <row r="660" ht="15.75" customHeight="1">
      <c r="D660" s="19"/>
      <c r="E660" s="19"/>
      <c r="F660" s="19"/>
      <c r="H660" s="19"/>
      <c r="I660" s="5"/>
      <c r="J660" s="19"/>
      <c r="K660" s="19"/>
      <c r="L660" s="19"/>
      <c r="O660" s="20"/>
      <c r="P660" s="20"/>
      <c r="Q660" s="19"/>
      <c r="S660" s="19"/>
      <c r="T660" s="19"/>
      <c r="U660" s="19"/>
      <c r="V660" s="19"/>
      <c r="W660" s="19"/>
      <c r="X660" s="19"/>
    </row>
    <row r="661" ht="15.75" customHeight="1">
      <c r="D661" s="19"/>
      <c r="E661" s="19"/>
      <c r="F661" s="19"/>
      <c r="H661" s="19"/>
      <c r="I661" s="5"/>
      <c r="J661" s="19"/>
      <c r="K661" s="19"/>
      <c r="L661" s="19"/>
      <c r="O661" s="20"/>
      <c r="P661" s="20"/>
      <c r="Q661" s="19"/>
      <c r="S661" s="19"/>
      <c r="T661" s="19"/>
      <c r="U661" s="19"/>
      <c r="V661" s="19"/>
      <c r="W661" s="19"/>
      <c r="X661" s="19"/>
    </row>
    <row r="662" ht="15.75" customHeight="1">
      <c r="D662" s="19"/>
      <c r="E662" s="19"/>
      <c r="F662" s="19"/>
      <c r="H662" s="19"/>
      <c r="I662" s="5"/>
      <c r="J662" s="19"/>
      <c r="K662" s="19"/>
      <c r="L662" s="19"/>
      <c r="O662" s="20"/>
      <c r="P662" s="20"/>
      <c r="Q662" s="19"/>
      <c r="S662" s="19"/>
      <c r="T662" s="19"/>
      <c r="U662" s="19"/>
      <c r="V662" s="19"/>
      <c r="W662" s="19"/>
      <c r="X662" s="19"/>
    </row>
    <row r="663" ht="15.75" customHeight="1">
      <c r="D663" s="19"/>
      <c r="E663" s="19"/>
      <c r="F663" s="19"/>
      <c r="H663" s="19"/>
      <c r="I663" s="5"/>
      <c r="J663" s="19"/>
      <c r="K663" s="19"/>
      <c r="L663" s="19"/>
      <c r="O663" s="20"/>
      <c r="P663" s="20"/>
      <c r="Q663" s="19"/>
      <c r="S663" s="19"/>
      <c r="T663" s="19"/>
      <c r="U663" s="19"/>
      <c r="V663" s="19"/>
      <c r="W663" s="19"/>
      <c r="X663" s="19"/>
    </row>
    <row r="664" ht="15.75" customHeight="1">
      <c r="D664" s="19"/>
      <c r="E664" s="19"/>
      <c r="F664" s="19"/>
      <c r="H664" s="19"/>
      <c r="I664" s="5"/>
      <c r="J664" s="19"/>
      <c r="K664" s="19"/>
      <c r="L664" s="19"/>
      <c r="O664" s="20"/>
      <c r="P664" s="20"/>
      <c r="Q664" s="19"/>
      <c r="S664" s="19"/>
      <c r="T664" s="19"/>
      <c r="U664" s="19"/>
      <c r="V664" s="19"/>
      <c r="W664" s="19"/>
      <c r="X664" s="19"/>
    </row>
    <row r="665" ht="15.75" customHeight="1">
      <c r="D665" s="19"/>
      <c r="E665" s="19"/>
      <c r="F665" s="19"/>
      <c r="H665" s="19"/>
      <c r="I665" s="5"/>
      <c r="J665" s="19"/>
      <c r="K665" s="19"/>
      <c r="L665" s="19"/>
      <c r="O665" s="20"/>
      <c r="P665" s="20"/>
      <c r="Q665" s="19"/>
      <c r="S665" s="19"/>
      <c r="T665" s="19"/>
      <c r="U665" s="19"/>
      <c r="V665" s="19"/>
      <c r="W665" s="19"/>
      <c r="X665" s="19"/>
    </row>
    <row r="666" ht="15.75" customHeight="1">
      <c r="D666" s="19"/>
      <c r="E666" s="19"/>
      <c r="F666" s="19"/>
      <c r="H666" s="19"/>
      <c r="I666" s="5"/>
      <c r="J666" s="19"/>
      <c r="K666" s="19"/>
      <c r="L666" s="19"/>
      <c r="O666" s="20"/>
      <c r="P666" s="20"/>
      <c r="Q666" s="19"/>
      <c r="S666" s="19"/>
      <c r="T666" s="19"/>
      <c r="U666" s="19"/>
      <c r="V666" s="19"/>
      <c r="W666" s="19"/>
      <c r="X666" s="19"/>
    </row>
    <row r="667" ht="15.75" customHeight="1">
      <c r="D667" s="19"/>
      <c r="E667" s="19"/>
      <c r="F667" s="19"/>
      <c r="H667" s="19"/>
      <c r="I667" s="5"/>
      <c r="J667" s="19"/>
      <c r="K667" s="19"/>
      <c r="L667" s="19"/>
      <c r="O667" s="20"/>
      <c r="P667" s="20"/>
      <c r="Q667" s="19"/>
      <c r="S667" s="19"/>
      <c r="T667" s="19"/>
      <c r="U667" s="19"/>
      <c r="V667" s="19"/>
      <c r="W667" s="19"/>
      <c r="X667" s="19"/>
    </row>
    <row r="668" ht="15.75" customHeight="1">
      <c r="D668" s="19"/>
      <c r="E668" s="19"/>
      <c r="F668" s="19"/>
      <c r="H668" s="19"/>
      <c r="I668" s="5"/>
      <c r="J668" s="19"/>
      <c r="K668" s="19"/>
      <c r="L668" s="19"/>
      <c r="O668" s="20"/>
      <c r="P668" s="20"/>
      <c r="Q668" s="19"/>
      <c r="S668" s="19"/>
      <c r="T668" s="19"/>
      <c r="U668" s="19"/>
      <c r="V668" s="19"/>
      <c r="W668" s="19"/>
      <c r="X668" s="19"/>
    </row>
    <row r="669" ht="15.75" customHeight="1">
      <c r="D669" s="19"/>
      <c r="E669" s="19"/>
      <c r="F669" s="19"/>
      <c r="H669" s="19"/>
      <c r="I669" s="5"/>
      <c r="J669" s="19"/>
      <c r="K669" s="19"/>
      <c r="L669" s="19"/>
      <c r="O669" s="20"/>
      <c r="P669" s="20"/>
      <c r="Q669" s="19"/>
      <c r="S669" s="19"/>
      <c r="T669" s="19"/>
      <c r="U669" s="19"/>
      <c r="V669" s="19"/>
      <c r="W669" s="19"/>
      <c r="X669" s="19"/>
    </row>
    <row r="670" ht="15.75" customHeight="1">
      <c r="D670" s="19"/>
      <c r="E670" s="19"/>
      <c r="F670" s="19"/>
      <c r="H670" s="19"/>
      <c r="I670" s="5"/>
      <c r="J670" s="19"/>
      <c r="K670" s="19"/>
      <c r="L670" s="19"/>
      <c r="O670" s="20"/>
      <c r="P670" s="20"/>
      <c r="Q670" s="19"/>
      <c r="S670" s="19"/>
      <c r="T670" s="19"/>
      <c r="U670" s="19"/>
      <c r="V670" s="19"/>
      <c r="W670" s="19"/>
      <c r="X670" s="19"/>
    </row>
    <row r="671" ht="15.75" customHeight="1">
      <c r="D671" s="19"/>
      <c r="E671" s="19"/>
      <c r="F671" s="19"/>
      <c r="H671" s="19"/>
      <c r="I671" s="5"/>
      <c r="J671" s="19"/>
      <c r="K671" s="19"/>
      <c r="L671" s="19"/>
      <c r="O671" s="20"/>
      <c r="P671" s="20"/>
      <c r="Q671" s="19"/>
      <c r="S671" s="19"/>
      <c r="T671" s="19"/>
      <c r="U671" s="19"/>
      <c r="V671" s="19"/>
      <c r="W671" s="19"/>
      <c r="X671" s="19"/>
    </row>
    <row r="672" ht="15.75" customHeight="1">
      <c r="D672" s="19"/>
      <c r="E672" s="19"/>
      <c r="F672" s="19"/>
      <c r="H672" s="19"/>
      <c r="I672" s="5"/>
      <c r="J672" s="19"/>
      <c r="K672" s="19"/>
      <c r="L672" s="19"/>
      <c r="O672" s="20"/>
      <c r="P672" s="20"/>
      <c r="Q672" s="19"/>
      <c r="S672" s="19"/>
      <c r="T672" s="19"/>
      <c r="U672" s="19"/>
      <c r="V672" s="19"/>
      <c r="W672" s="19"/>
      <c r="X672" s="19"/>
    </row>
    <row r="673" ht="15.75" customHeight="1">
      <c r="D673" s="19"/>
      <c r="E673" s="19"/>
      <c r="F673" s="19"/>
      <c r="H673" s="19"/>
      <c r="I673" s="5"/>
      <c r="J673" s="19"/>
      <c r="K673" s="19"/>
      <c r="L673" s="19"/>
      <c r="O673" s="20"/>
      <c r="P673" s="20"/>
      <c r="Q673" s="19"/>
      <c r="S673" s="19"/>
      <c r="T673" s="19"/>
      <c r="U673" s="19"/>
      <c r="V673" s="19"/>
      <c r="W673" s="19"/>
      <c r="X673" s="19"/>
    </row>
    <row r="674" ht="15.75" customHeight="1">
      <c r="D674" s="19"/>
      <c r="E674" s="19"/>
      <c r="F674" s="19"/>
      <c r="H674" s="19"/>
      <c r="I674" s="5"/>
      <c r="J674" s="19"/>
      <c r="K674" s="19"/>
      <c r="L674" s="19"/>
      <c r="O674" s="20"/>
      <c r="P674" s="20"/>
      <c r="Q674" s="19"/>
      <c r="S674" s="19"/>
      <c r="T674" s="19"/>
      <c r="U674" s="19"/>
      <c r="V674" s="19"/>
      <c r="W674" s="19"/>
      <c r="X674" s="19"/>
    </row>
    <row r="675" ht="15.75" customHeight="1">
      <c r="D675" s="19"/>
      <c r="E675" s="19"/>
      <c r="F675" s="19"/>
      <c r="H675" s="19"/>
      <c r="I675" s="5"/>
      <c r="J675" s="19"/>
      <c r="K675" s="19"/>
      <c r="L675" s="19"/>
      <c r="O675" s="20"/>
      <c r="P675" s="20"/>
      <c r="Q675" s="19"/>
      <c r="S675" s="19"/>
      <c r="T675" s="19"/>
      <c r="U675" s="19"/>
      <c r="V675" s="19"/>
      <c r="W675" s="19"/>
      <c r="X675" s="19"/>
    </row>
    <row r="676" ht="15.75" customHeight="1">
      <c r="D676" s="19"/>
      <c r="E676" s="19"/>
      <c r="F676" s="19"/>
      <c r="H676" s="19"/>
      <c r="I676" s="5"/>
      <c r="J676" s="19"/>
      <c r="K676" s="19"/>
      <c r="L676" s="19"/>
      <c r="O676" s="20"/>
      <c r="P676" s="20"/>
      <c r="Q676" s="19"/>
      <c r="S676" s="19"/>
      <c r="T676" s="19"/>
      <c r="U676" s="19"/>
      <c r="V676" s="19"/>
      <c r="W676" s="19"/>
      <c r="X676" s="19"/>
    </row>
    <row r="677" ht="15.75" customHeight="1">
      <c r="D677" s="19"/>
      <c r="E677" s="19"/>
      <c r="F677" s="19"/>
      <c r="H677" s="19"/>
      <c r="I677" s="5"/>
      <c r="J677" s="19"/>
      <c r="K677" s="19"/>
      <c r="L677" s="19"/>
      <c r="O677" s="20"/>
      <c r="P677" s="20"/>
      <c r="Q677" s="19"/>
      <c r="S677" s="19"/>
      <c r="T677" s="19"/>
      <c r="U677" s="19"/>
      <c r="V677" s="19"/>
      <c r="W677" s="19"/>
      <c r="X677" s="19"/>
    </row>
    <row r="678" ht="15.75" customHeight="1">
      <c r="D678" s="19"/>
      <c r="E678" s="19"/>
      <c r="F678" s="19"/>
      <c r="H678" s="19"/>
      <c r="I678" s="5"/>
      <c r="J678" s="19"/>
      <c r="K678" s="19"/>
      <c r="L678" s="19"/>
      <c r="O678" s="20"/>
      <c r="P678" s="20"/>
      <c r="Q678" s="19"/>
      <c r="S678" s="19"/>
      <c r="T678" s="19"/>
      <c r="U678" s="19"/>
      <c r="V678" s="19"/>
      <c r="W678" s="19"/>
      <c r="X678" s="19"/>
    </row>
    <row r="679" ht="15.75" customHeight="1">
      <c r="D679" s="19"/>
      <c r="E679" s="19"/>
      <c r="F679" s="19"/>
      <c r="H679" s="19"/>
      <c r="I679" s="5"/>
      <c r="J679" s="19"/>
      <c r="K679" s="19"/>
      <c r="L679" s="19"/>
      <c r="O679" s="20"/>
      <c r="P679" s="20"/>
      <c r="Q679" s="19"/>
      <c r="S679" s="19"/>
      <c r="T679" s="19"/>
      <c r="U679" s="19"/>
      <c r="V679" s="19"/>
      <c r="W679" s="19"/>
      <c r="X679" s="19"/>
    </row>
    <row r="680" ht="15.75" customHeight="1">
      <c r="D680" s="19"/>
      <c r="E680" s="19"/>
      <c r="F680" s="19"/>
      <c r="H680" s="19"/>
      <c r="I680" s="5"/>
      <c r="J680" s="19"/>
      <c r="K680" s="19"/>
      <c r="L680" s="19"/>
      <c r="O680" s="20"/>
      <c r="P680" s="20"/>
      <c r="Q680" s="19"/>
      <c r="S680" s="19"/>
      <c r="T680" s="19"/>
      <c r="U680" s="19"/>
      <c r="V680" s="19"/>
      <c r="W680" s="19"/>
      <c r="X680" s="19"/>
    </row>
    <row r="681" ht="15.75" customHeight="1">
      <c r="D681" s="19"/>
      <c r="E681" s="19"/>
      <c r="F681" s="19"/>
      <c r="H681" s="19"/>
      <c r="I681" s="5"/>
      <c r="J681" s="19"/>
      <c r="K681" s="19"/>
      <c r="L681" s="19"/>
      <c r="O681" s="20"/>
      <c r="P681" s="20"/>
      <c r="Q681" s="19"/>
      <c r="S681" s="19"/>
      <c r="T681" s="19"/>
      <c r="U681" s="19"/>
      <c r="V681" s="19"/>
      <c r="W681" s="19"/>
      <c r="X681" s="19"/>
    </row>
    <row r="682" ht="15.75" customHeight="1">
      <c r="D682" s="19"/>
      <c r="E682" s="19"/>
      <c r="F682" s="19"/>
      <c r="H682" s="19"/>
      <c r="I682" s="5"/>
      <c r="J682" s="19"/>
      <c r="K682" s="19"/>
      <c r="L682" s="19"/>
      <c r="O682" s="20"/>
      <c r="P682" s="20"/>
      <c r="Q682" s="19"/>
      <c r="S682" s="19"/>
      <c r="T682" s="19"/>
      <c r="U682" s="19"/>
      <c r="V682" s="19"/>
      <c r="W682" s="19"/>
      <c r="X682" s="19"/>
    </row>
    <row r="683" ht="15.75" customHeight="1">
      <c r="D683" s="19"/>
      <c r="E683" s="19"/>
      <c r="F683" s="19"/>
      <c r="H683" s="19"/>
      <c r="I683" s="5"/>
      <c r="J683" s="19"/>
      <c r="K683" s="19"/>
      <c r="L683" s="19"/>
      <c r="O683" s="20"/>
      <c r="P683" s="20"/>
      <c r="Q683" s="19"/>
      <c r="S683" s="19"/>
      <c r="T683" s="19"/>
      <c r="U683" s="19"/>
      <c r="V683" s="19"/>
      <c r="W683" s="19"/>
      <c r="X683" s="19"/>
    </row>
    <row r="684" ht="15.75" customHeight="1">
      <c r="D684" s="19"/>
      <c r="E684" s="19"/>
      <c r="F684" s="19"/>
      <c r="H684" s="19"/>
      <c r="I684" s="5"/>
      <c r="J684" s="19"/>
      <c r="K684" s="19"/>
      <c r="L684" s="19"/>
      <c r="O684" s="20"/>
      <c r="P684" s="20"/>
      <c r="Q684" s="19"/>
      <c r="S684" s="19"/>
      <c r="T684" s="19"/>
      <c r="U684" s="19"/>
      <c r="V684" s="19"/>
      <c r="W684" s="19"/>
      <c r="X684" s="19"/>
    </row>
    <row r="685" ht="15.75" customHeight="1">
      <c r="D685" s="19"/>
      <c r="E685" s="19"/>
      <c r="F685" s="19"/>
      <c r="H685" s="19"/>
      <c r="I685" s="5"/>
      <c r="J685" s="19"/>
      <c r="K685" s="19"/>
      <c r="L685" s="19"/>
      <c r="O685" s="20"/>
      <c r="P685" s="20"/>
      <c r="Q685" s="19"/>
      <c r="S685" s="19"/>
      <c r="T685" s="19"/>
      <c r="U685" s="19"/>
      <c r="V685" s="19"/>
      <c r="W685" s="19"/>
      <c r="X685" s="19"/>
    </row>
    <row r="686" ht="15.75" customHeight="1">
      <c r="D686" s="19"/>
      <c r="E686" s="19"/>
      <c r="F686" s="19"/>
      <c r="H686" s="19"/>
      <c r="I686" s="5"/>
      <c r="J686" s="19"/>
      <c r="K686" s="19"/>
      <c r="L686" s="19"/>
      <c r="O686" s="20"/>
      <c r="P686" s="20"/>
      <c r="Q686" s="19"/>
      <c r="S686" s="19"/>
      <c r="T686" s="19"/>
      <c r="U686" s="19"/>
      <c r="V686" s="19"/>
      <c r="W686" s="19"/>
      <c r="X686" s="19"/>
    </row>
    <row r="687" ht="15.75" customHeight="1">
      <c r="D687" s="19"/>
      <c r="E687" s="19"/>
      <c r="F687" s="19"/>
      <c r="H687" s="19"/>
      <c r="I687" s="5"/>
      <c r="J687" s="19"/>
      <c r="K687" s="19"/>
      <c r="L687" s="19"/>
      <c r="O687" s="20"/>
      <c r="P687" s="20"/>
      <c r="Q687" s="19"/>
      <c r="S687" s="19"/>
      <c r="T687" s="19"/>
      <c r="U687" s="19"/>
      <c r="V687" s="19"/>
      <c r="W687" s="19"/>
      <c r="X687" s="19"/>
    </row>
    <row r="688" ht="15.75" customHeight="1">
      <c r="D688" s="19"/>
      <c r="E688" s="19"/>
      <c r="F688" s="19"/>
      <c r="H688" s="19"/>
      <c r="I688" s="5"/>
      <c r="J688" s="19"/>
      <c r="K688" s="19"/>
      <c r="L688" s="19"/>
      <c r="O688" s="20"/>
      <c r="P688" s="20"/>
      <c r="Q688" s="19"/>
      <c r="S688" s="19"/>
      <c r="T688" s="19"/>
      <c r="U688" s="19"/>
      <c r="V688" s="19"/>
      <c r="W688" s="19"/>
      <c r="X688" s="19"/>
    </row>
    <row r="689" ht="15.75" customHeight="1">
      <c r="D689" s="19"/>
      <c r="E689" s="19"/>
      <c r="F689" s="19"/>
      <c r="H689" s="19"/>
      <c r="I689" s="5"/>
      <c r="J689" s="19"/>
      <c r="K689" s="19"/>
      <c r="L689" s="19"/>
      <c r="O689" s="20"/>
      <c r="P689" s="20"/>
      <c r="Q689" s="19"/>
      <c r="S689" s="19"/>
      <c r="T689" s="19"/>
      <c r="U689" s="19"/>
      <c r="V689" s="19"/>
      <c r="W689" s="19"/>
      <c r="X689" s="19"/>
    </row>
    <row r="690" ht="15.75" customHeight="1">
      <c r="D690" s="19"/>
      <c r="E690" s="19"/>
      <c r="F690" s="19"/>
      <c r="H690" s="19"/>
      <c r="I690" s="5"/>
      <c r="J690" s="19"/>
      <c r="K690" s="19"/>
      <c r="L690" s="19"/>
      <c r="O690" s="20"/>
      <c r="P690" s="20"/>
      <c r="Q690" s="19"/>
      <c r="S690" s="19"/>
      <c r="T690" s="19"/>
      <c r="U690" s="19"/>
      <c r="V690" s="19"/>
      <c r="W690" s="19"/>
      <c r="X690" s="19"/>
    </row>
    <row r="691" ht="15.75" customHeight="1">
      <c r="D691" s="19"/>
      <c r="E691" s="19"/>
      <c r="F691" s="19"/>
      <c r="H691" s="19"/>
      <c r="I691" s="5"/>
      <c r="J691" s="19"/>
      <c r="K691" s="19"/>
      <c r="L691" s="19"/>
      <c r="O691" s="20"/>
      <c r="P691" s="20"/>
      <c r="Q691" s="19"/>
      <c r="S691" s="19"/>
      <c r="T691" s="19"/>
      <c r="U691" s="19"/>
      <c r="V691" s="19"/>
      <c r="W691" s="19"/>
      <c r="X691" s="19"/>
    </row>
    <row r="692" ht="15.75" customHeight="1">
      <c r="D692" s="19"/>
      <c r="E692" s="19"/>
      <c r="F692" s="19"/>
      <c r="H692" s="19"/>
      <c r="I692" s="5"/>
      <c r="J692" s="19"/>
      <c r="K692" s="19"/>
      <c r="L692" s="19"/>
      <c r="O692" s="20"/>
      <c r="P692" s="20"/>
      <c r="Q692" s="19"/>
      <c r="S692" s="19"/>
      <c r="T692" s="19"/>
      <c r="U692" s="19"/>
      <c r="V692" s="19"/>
      <c r="W692" s="19"/>
      <c r="X692" s="19"/>
    </row>
    <row r="693" ht="15.75" customHeight="1">
      <c r="D693" s="19"/>
      <c r="E693" s="19"/>
      <c r="F693" s="19"/>
      <c r="H693" s="19"/>
      <c r="I693" s="5"/>
      <c r="J693" s="19"/>
      <c r="K693" s="19"/>
      <c r="L693" s="19"/>
      <c r="O693" s="20"/>
      <c r="P693" s="20"/>
      <c r="Q693" s="19"/>
      <c r="S693" s="19"/>
      <c r="T693" s="19"/>
      <c r="U693" s="19"/>
      <c r="V693" s="19"/>
      <c r="W693" s="19"/>
      <c r="X693" s="19"/>
    </row>
    <row r="694" ht="15.75" customHeight="1">
      <c r="D694" s="19"/>
      <c r="E694" s="19"/>
      <c r="F694" s="19"/>
      <c r="H694" s="19"/>
      <c r="I694" s="5"/>
      <c r="J694" s="19"/>
      <c r="K694" s="19"/>
      <c r="L694" s="19"/>
      <c r="O694" s="20"/>
      <c r="P694" s="20"/>
      <c r="Q694" s="19"/>
      <c r="S694" s="19"/>
      <c r="T694" s="19"/>
      <c r="U694" s="19"/>
      <c r="V694" s="19"/>
      <c r="W694" s="19"/>
      <c r="X694" s="19"/>
    </row>
    <row r="695" ht="15.75" customHeight="1">
      <c r="D695" s="19"/>
      <c r="E695" s="19"/>
      <c r="F695" s="19"/>
      <c r="H695" s="19"/>
      <c r="I695" s="5"/>
      <c r="J695" s="19"/>
      <c r="K695" s="19"/>
      <c r="L695" s="19"/>
      <c r="O695" s="20"/>
      <c r="P695" s="20"/>
      <c r="Q695" s="19"/>
      <c r="S695" s="19"/>
      <c r="T695" s="19"/>
      <c r="U695" s="19"/>
      <c r="V695" s="19"/>
      <c r="W695" s="19"/>
      <c r="X695" s="19"/>
    </row>
    <row r="696" ht="15.75" customHeight="1">
      <c r="D696" s="19"/>
      <c r="E696" s="19"/>
      <c r="F696" s="19"/>
      <c r="H696" s="19"/>
      <c r="I696" s="5"/>
      <c r="J696" s="19"/>
      <c r="K696" s="19"/>
      <c r="L696" s="19"/>
      <c r="O696" s="20"/>
      <c r="P696" s="20"/>
      <c r="Q696" s="19"/>
      <c r="S696" s="19"/>
      <c r="T696" s="19"/>
      <c r="U696" s="19"/>
      <c r="V696" s="19"/>
      <c r="W696" s="19"/>
      <c r="X696" s="19"/>
    </row>
    <row r="697" ht="15.75" customHeight="1">
      <c r="D697" s="19"/>
      <c r="E697" s="19"/>
      <c r="F697" s="19"/>
      <c r="H697" s="19"/>
      <c r="I697" s="5"/>
      <c r="J697" s="19"/>
      <c r="K697" s="19"/>
      <c r="L697" s="19"/>
      <c r="O697" s="20"/>
      <c r="P697" s="20"/>
      <c r="Q697" s="19"/>
      <c r="S697" s="19"/>
      <c r="T697" s="19"/>
      <c r="U697" s="19"/>
      <c r="V697" s="19"/>
      <c r="W697" s="19"/>
      <c r="X697" s="19"/>
    </row>
    <row r="698" ht="15.75" customHeight="1">
      <c r="D698" s="19"/>
      <c r="E698" s="19"/>
      <c r="F698" s="19"/>
      <c r="H698" s="19"/>
      <c r="I698" s="5"/>
      <c r="J698" s="19"/>
      <c r="K698" s="19"/>
      <c r="L698" s="19"/>
      <c r="O698" s="20"/>
      <c r="P698" s="20"/>
      <c r="Q698" s="19"/>
      <c r="S698" s="19"/>
      <c r="T698" s="19"/>
      <c r="U698" s="19"/>
      <c r="V698" s="19"/>
      <c r="W698" s="19"/>
      <c r="X698" s="19"/>
    </row>
    <row r="699" ht="15.75" customHeight="1">
      <c r="D699" s="19"/>
      <c r="E699" s="19"/>
      <c r="F699" s="19"/>
      <c r="H699" s="19"/>
      <c r="I699" s="5"/>
      <c r="J699" s="19"/>
      <c r="K699" s="19"/>
      <c r="L699" s="19"/>
      <c r="O699" s="20"/>
      <c r="P699" s="20"/>
      <c r="Q699" s="19"/>
      <c r="S699" s="19"/>
      <c r="T699" s="19"/>
      <c r="U699" s="19"/>
      <c r="V699" s="19"/>
      <c r="W699" s="19"/>
      <c r="X699" s="19"/>
    </row>
    <row r="700" ht="15.75" customHeight="1">
      <c r="D700" s="19"/>
      <c r="E700" s="19"/>
      <c r="F700" s="19"/>
      <c r="H700" s="19"/>
      <c r="I700" s="5"/>
      <c r="J700" s="19"/>
      <c r="K700" s="19"/>
      <c r="L700" s="19"/>
      <c r="O700" s="20"/>
      <c r="P700" s="20"/>
      <c r="Q700" s="19"/>
      <c r="S700" s="19"/>
      <c r="T700" s="19"/>
      <c r="U700" s="19"/>
      <c r="V700" s="19"/>
      <c r="W700" s="19"/>
      <c r="X700" s="19"/>
    </row>
    <row r="701" ht="15.75" customHeight="1">
      <c r="D701" s="19"/>
      <c r="E701" s="19"/>
      <c r="F701" s="19"/>
      <c r="H701" s="19"/>
      <c r="I701" s="5"/>
      <c r="J701" s="19"/>
      <c r="K701" s="19"/>
      <c r="L701" s="19"/>
      <c r="O701" s="20"/>
      <c r="P701" s="20"/>
      <c r="Q701" s="19"/>
      <c r="S701" s="19"/>
      <c r="T701" s="19"/>
      <c r="U701" s="19"/>
      <c r="V701" s="19"/>
      <c r="W701" s="19"/>
      <c r="X701" s="19"/>
    </row>
    <row r="702" ht="15.75" customHeight="1">
      <c r="D702" s="19"/>
      <c r="E702" s="19"/>
      <c r="F702" s="19"/>
      <c r="H702" s="19"/>
      <c r="I702" s="5"/>
      <c r="J702" s="19"/>
      <c r="K702" s="19"/>
      <c r="L702" s="19"/>
      <c r="O702" s="20"/>
      <c r="P702" s="20"/>
      <c r="Q702" s="19"/>
      <c r="S702" s="19"/>
      <c r="T702" s="19"/>
      <c r="U702" s="19"/>
      <c r="V702" s="19"/>
      <c r="W702" s="19"/>
      <c r="X702" s="19"/>
    </row>
    <row r="703" ht="15.75" customHeight="1">
      <c r="D703" s="19"/>
      <c r="E703" s="19"/>
      <c r="F703" s="19"/>
      <c r="H703" s="19"/>
      <c r="I703" s="5"/>
      <c r="J703" s="19"/>
      <c r="K703" s="19"/>
      <c r="L703" s="19"/>
      <c r="O703" s="20"/>
      <c r="P703" s="20"/>
      <c r="Q703" s="19"/>
      <c r="S703" s="19"/>
      <c r="T703" s="19"/>
      <c r="U703" s="19"/>
      <c r="V703" s="19"/>
      <c r="W703" s="19"/>
      <c r="X703" s="19"/>
    </row>
    <row r="704" ht="15.75" customHeight="1">
      <c r="D704" s="19"/>
      <c r="E704" s="19"/>
      <c r="F704" s="19"/>
      <c r="H704" s="19"/>
      <c r="I704" s="5"/>
      <c r="J704" s="19"/>
      <c r="K704" s="19"/>
      <c r="L704" s="19"/>
      <c r="O704" s="20"/>
      <c r="P704" s="20"/>
      <c r="Q704" s="19"/>
      <c r="S704" s="19"/>
      <c r="T704" s="19"/>
      <c r="U704" s="19"/>
      <c r="V704" s="19"/>
      <c r="W704" s="19"/>
      <c r="X704" s="19"/>
    </row>
    <row r="705" ht="15.75" customHeight="1">
      <c r="D705" s="19"/>
      <c r="E705" s="19"/>
      <c r="F705" s="19"/>
      <c r="H705" s="19"/>
      <c r="I705" s="5"/>
      <c r="J705" s="19"/>
      <c r="K705" s="19"/>
      <c r="L705" s="19"/>
      <c r="O705" s="20"/>
      <c r="P705" s="20"/>
      <c r="Q705" s="19"/>
      <c r="S705" s="19"/>
      <c r="T705" s="19"/>
      <c r="U705" s="19"/>
      <c r="V705" s="19"/>
      <c r="W705" s="19"/>
      <c r="X705" s="19"/>
    </row>
    <row r="706" ht="15.75" customHeight="1">
      <c r="D706" s="19"/>
      <c r="E706" s="19"/>
      <c r="F706" s="19"/>
      <c r="H706" s="19"/>
      <c r="I706" s="5"/>
      <c r="J706" s="19"/>
      <c r="K706" s="19"/>
      <c r="L706" s="19"/>
      <c r="O706" s="20"/>
      <c r="P706" s="20"/>
      <c r="Q706" s="19"/>
      <c r="S706" s="19"/>
      <c r="T706" s="19"/>
      <c r="U706" s="19"/>
      <c r="V706" s="19"/>
      <c r="W706" s="19"/>
      <c r="X706" s="19"/>
    </row>
    <row r="707" ht="15.75" customHeight="1">
      <c r="D707" s="19"/>
      <c r="E707" s="19"/>
      <c r="F707" s="19"/>
      <c r="H707" s="19"/>
      <c r="I707" s="5"/>
      <c r="J707" s="19"/>
      <c r="K707" s="19"/>
      <c r="L707" s="19"/>
      <c r="O707" s="20"/>
      <c r="P707" s="20"/>
      <c r="Q707" s="19"/>
      <c r="S707" s="19"/>
      <c r="T707" s="19"/>
      <c r="U707" s="19"/>
      <c r="V707" s="19"/>
      <c r="W707" s="19"/>
      <c r="X707" s="19"/>
    </row>
    <row r="708" ht="15.75" customHeight="1">
      <c r="D708" s="19"/>
      <c r="E708" s="19"/>
      <c r="F708" s="19"/>
      <c r="H708" s="19"/>
      <c r="I708" s="5"/>
      <c r="J708" s="19"/>
      <c r="K708" s="19"/>
      <c r="L708" s="19"/>
      <c r="O708" s="20"/>
      <c r="P708" s="20"/>
      <c r="Q708" s="19"/>
      <c r="S708" s="19"/>
      <c r="T708" s="19"/>
      <c r="U708" s="19"/>
      <c r="V708" s="19"/>
      <c r="W708" s="19"/>
      <c r="X708" s="19"/>
    </row>
    <row r="709" ht="15.75" customHeight="1">
      <c r="D709" s="19"/>
      <c r="E709" s="19"/>
      <c r="F709" s="19"/>
      <c r="H709" s="19"/>
      <c r="I709" s="5"/>
      <c r="J709" s="19"/>
      <c r="K709" s="19"/>
      <c r="L709" s="19"/>
      <c r="O709" s="20"/>
      <c r="P709" s="20"/>
      <c r="Q709" s="19"/>
      <c r="S709" s="19"/>
      <c r="T709" s="19"/>
      <c r="U709" s="19"/>
      <c r="V709" s="19"/>
      <c r="W709" s="19"/>
      <c r="X709" s="19"/>
    </row>
    <row r="710" ht="15.75" customHeight="1">
      <c r="D710" s="19"/>
      <c r="E710" s="19"/>
      <c r="F710" s="19"/>
      <c r="H710" s="19"/>
      <c r="I710" s="5"/>
      <c r="J710" s="19"/>
      <c r="K710" s="19"/>
      <c r="L710" s="19"/>
      <c r="O710" s="20"/>
      <c r="P710" s="20"/>
      <c r="Q710" s="19"/>
      <c r="S710" s="19"/>
      <c r="T710" s="19"/>
      <c r="U710" s="19"/>
      <c r="V710" s="19"/>
      <c r="W710" s="19"/>
      <c r="X710" s="19"/>
    </row>
    <row r="711" ht="15.75" customHeight="1">
      <c r="D711" s="19"/>
      <c r="E711" s="19"/>
      <c r="F711" s="19"/>
      <c r="H711" s="19"/>
      <c r="I711" s="5"/>
      <c r="J711" s="19"/>
      <c r="K711" s="19"/>
      <c r="L711" s="19"/>
      <c r="O711" s="20"/>
      <c r="P711" s="20"/>
      <c r="Q711" s="19"/>
      <c r="S711" s="19"/>
      <c r="T711" s="19"/>
      <c r="U711" s="19"/>
      <c r="V711" s="19"/>
      <c r="W711" s="19"/>
      <c r="X711" s="19"/>
    </row>
    <row r="712" ht="15.75" customHeight="1">
      <c r="D712" s="19"/>
      <c r="E712" s="19"/>
      <c r="F712" s="19"/>
      <c r="H712" s="19"/>
      <c r="I712" s="5"/>
      <c r="J712" s="19"/>
      <c r="K712" s="19"/>
      <c r="L712" s="19"/>
      <c r="O712" s="20"/>
      <c r="P712" s="20"/>
      <c r="Q712" s="19"/>
      <c r="S712" s="19"/>
      <c r="T712" s="19"/>
      <c r="U712" s="19"/>
      <c r="V712" s="19"/>
      <c r="W712" s="19"/>
      <c r="X712" s="19"/>
    </row>
    <row r="713" ht="15.75" customHeight="1">
      <c r="D713" s="19"/>
      <c r="E713" s="19"/>
      <c r="F713" s="19"/>
      <c r="H713" s="19"/>
      <c r="I713" s="5"/>
      <c r="J713" s="19"/>
      <c r="K713" s="19"/>
      <c r="L713" s="19"/>
      <c r="O713" s="20"/>
      <c r="P713" s="20"/>
      <c r="Q713" s="19"/>
      <c r="S713" s="19"/>
      <c r="T713" s="19"/>
      <c r="U713" s="19"/>
      <c r="V713" s="19"/>
      <c r="W713" s="19"/>
      <c r="X713" s="19"/>
    </row>
    <row r="714" ht="15.75" customHeight="1">
      <c r="D714" s="19"/>
      <c r="E714" s="19"/>
      <c r="F714" s="19"/>
      <c r="H714" s="19"/>
      <c r="I714" s="5"/>
      <c r="J714" s="19"/>
      <c r="K714" s="19"/>
      <c r="L714" s="19"/>
      <c r="O714" s="20"/>
      <c r="P714" s="20"/>
      <c r="Q714" s="19"/>
      <c r="S714" s="19"/>
      <c r="T714" s="19"/>
      <c r="U714" s="19"/>
      <c r="V714" s="19"/>
      <c r="W714" s="19"/>
      <c r="X714" s="19"/>
    </row>
    <row r="715" ht="15.75" customHeight="1">
      <c r="D715" s="19"/>
      <c r="E715" s="19"/>
      <c r="F715" s="19"/>
      <c r="H715" s="19"/>
      <c r="I715" s="5"/>
      <c r="J715" s="19"/>
      <c r="K715" s="19"/>
      <c r="L715" s="19"/>
      <c r="O715" s="20"/>
      <c r="P715" s="20"/>
      <c r="Q715" s="19"/>
      <c r="S715" s="19"/>
      <c r="T715" s="19"/>
      <c r="U715" s="19"/>
      <c r="V715" s="19"/>
      <c r="W715" s="19"/>
      <c r="X715" s="19"/>
    </row>
    <row r="716" ht="15.75" customHeight="1">
      <c r="D716" s="19"/>
      <c r="E716" s="19"/>
      <c r="F716" s="19"/>
      <c r="H716" s="19"/>
      <c r="I716" s="5"/>
      <c r="J716" s="19"/>
      <c r="K716" s="19"/>
      <c r="L716" s="19"/>
      <c r="O716" s="20"/>
      <c r="P716" s="20"/>
      <c r="Q716" s="19"/>
      <c r="S716" s="19"/>
      <c r="T716" s="19"/>
      <c r="U716" s="19"/>
      <c r="V716" s="19"/>
      <c r="W716" s="19"/>
      <c r="X716" s="19"/>
    </row>
    <row r="717" ht="15.75" customHeight="1">
      <c r="D717" s="19"/>
      <c r="E717" s="19"/>
      <c r="F717" s="19"/>
      <c r="H717" s="19"/>
      <c r="I717" s="5"/>
      <c r="J717" s="19"/>
      <c r="K717" s="19"/>
      <c r="L717" s="19"/>
      <c r="O717" s="20"/>
      <c r="P717" s="20"/>
      <c r="Q717" s="19"/>
      <c r="S717" s="19"/>
      <c r="T717" s="19"/>
      <c r="U717" s="19"/>
      <c r="V717" s="19"/>
      <c r="W717" s="19"/>
      <c r="X717" s="19"/>
    </row>
    <row r="718" ht="15.75" customHeight="1">
      <c r="D718" s="19"/>
      <c r="E718" s="19"/>
      <c r="F718" s="19"/>
      <c r="H718" s="19"/>
      <c r="I718" s="5"/>
      <c r="J718" s="19"/>
      <c r="K718" s="19"/>
      <c r="L718" s="19"/>
      <c r="O718" s="20"/>
      <c r="P718" s="20"/>
      <c r="Q718" s="19"/>
      <c r="S718" s="19"/>
      <c r="T718" s="19"/>
      <c r="U718" s="19"/>
      <c r="V718" s="19"/>
      <c r="W718" s="19"/>
      <c r="X718" s="19"/>
    </row>
    <row r="719" ht="15.75" customHeight="1">
      <c r="D719" s="19"/>
      <c r="E719" s="19"/>
      <c r="F719" s="19"/>
      <c r="H719" s="19"/>
      <c r="I719" s="5"/>
      <c r="J719" s="19"/>
      <c r="K719" s="19"/>
      <c r="L719" s="19"/>
      <c r="O719" s="20"/>
      <c r="P719" s="20"/>
      <c r="Q719" s="19"/>
      <c r="S719" s="19"/>
      <c r="T719" s="19"/>
      <c r="U719" s="19"/>
      <c r="V719" s="19"/>
      <c r="W719" s="19"/>
      <c r="X719" s="19"/>
    </row>
    <row r="720" ht="15.75" customHeight="1">
      <c r="D720" s="19"/>
      <c r="E720" s="19"/>
      <c r="F720" s="19"/>
      <c r="H720" s="19"/>
      <c r="I720" s="5"/>
      <c r="J720" s="19"/>
      <c r="K720" s="19"/>
      <c r="L720" s="19"/>
      <c r="O720" s="20"/>
      <c r="P720" s="20"/>
      <c r="Q720" s="19"/>
      <c r="S720" s="19"/>
      <c r="T720" s="19"/>
      <c r="U720" s="19"/>
      <c r="V720" s="19"/>
      <c r="W720" s="19"/>
      <c r="X720" s="19"/>
    </row>
    <row r="721" ht="15.75" customHeight="1">
      <c r="D721" s="19"/>
      <c r="E721" s="19"/>
      <c r="F721" s="19"/>
      <c r="H721" s="19"/>
      <c r="I721" s="5"/>
      <c r="J721" s="19"/>
      <c r="K721" s="19"/>
      <c r="L721" s="19"/>
      <c r="O721" s="20"/>
      <c r="P721" s="20"/>
      <c r="Q721" s="19"/>
      <c r="S721" s="19"/>
      <c r="T721" s="19"/>
      <c r="U721" s="19"/>
      <c r="V721" s="19"/>
      <c r="W721" s="19"/>
      <c r="X721" s="19"/>
    </row>
    <row r="722" ht="15.75" customHeight="1">
      <c r="D722" s="19"/>
      <c r="E722" s="19"/>
      <c r="F722" s="19"/>
      <c r="H722" s="19"/>
      <c r="I722" s="5"/>
      <c r="J722" s="19"/>
      <c r="K722" s="19"/>
      <c r="L722" s="19"/>
      <c r="O722" s="20"/>
      <c r="P722" s="20"/>
      <c r="Q722" s="19"/>
      <c r="S722" s="19"/>
      <c r="T722" s="19"/>
      <c r="U722" s="19"/>
      <c r="V722" s="19"/>
      <c r="W722" s="19"/>
      <c r="X722" s="19"/>
    </row>
    <row r="723" ht="15.75" customHeight="1">
      <c r="D723" s="19"/>
      <c r="E723" s="19"/>
      <c r="F723" s="19"/>
      <c r="H723" s="19"/>
      <c r="I723" s="5"/>
      <c r="J723" s="19"/>
      <c r="K723" s="19"/>
      <c r="L723" s="19"/>
      <c r="O723" s="20"/>
      <c r="P723" s="20"/>
      <c r="Q723" s="19"/>
      <c r="S723" s="19"/>
      <c r="T723" s="19"/>
      <c r="U723" s="19"/>
      <c r="V723" s="19"/>
      <c r="W723" s="19"/>
      <c r="X723" s="19"/>
    </row>
    <row r="724" ht="15.75" customHeight="1">
      <c r="D724" s="19"/>
      <c r="E724" s="19"/>
      <c r="F724" s="19"/>
      <c r="H724" s="19"/>
      <c r="I724" s="5"/>
      <c r="J724" s="19"/>
      <c r="K724" s="19"/>
      <c r="L724" s="19"/>
      <c r="O724" s="20"/>
      <c r="P724" s="20"/>
      <c r="Q724" s="19"/>
      <c r="S724" s="19"/>
      <c r="T724" s="19"/>
      <c r="U724" s="19"/>
      <c r="V724" s="19"/>
      <c r="W724" s="19"/>
      <c r="X724" s="19"/>
    </row>
    <row r="725" ht="15.75" customHeight="1">
      <c r="D725" s="19"/>
      <c r="E725" s="19"/>
      <c r="F725" s="19"/>
      <c r="H725" s="19"/>
      <c r="I725" s="5"/>
      <c r="J725" s="19"/>
      <c r="K725" s="19"/>
      <c r="L725" s="19"/>
      <c r="O725" s="20"/>
      <c r="P725" s="20"/>
      <c r="Q725" s="19"/>
      <c r="S725" s="19"/>
      <c r="T725" s="19"/>
      <c r="U725" s="19"/>
      <c r="V725" s="19"/>
      <c r="W725" s="19"/>
      <c r="X725" s="19"/>
    </row>
    <row r="726" ht="15.75" customHeight="1">
      <c r="D726" s="19"/>
      <c r="E726" s="19"/>
      <c r="F726" s="19"/>
      <c r="H726" s="19"/>
      <c r="I726" s="5"/>
      <c r="J726" s="19"/>
      <c r="K726" s="19"/>
      <c r="L726" s="19"/>
      <c r="O726" s="20"/>
      <c r="P726" s="20"/>
      <c r="Q726" s="19"/>
      <c r="S726" s="19"/>
      <c r="T726" s="19"/>
      <c r="U726" s="19"/>
      <c r="V726" s="19"/>
      <c r="W726" s="19"/>
      <c r="X726" s="19"/>
    </row>
    <row r="727" ht="15.75" customHeight="1">
      <c r="D727" s="19"/>
      <c r="E727" s="19"/>
      <c r="F727" s="19"/>
      <c r="H727" s="19"/>
      <c r="I727" s="5"/>
      <c r="J727" s="19"/>
      <c r="K727" s="19"/>
      <c r="L727" s="19"/>
      <c r="O727" s="20"/>
      <c r="P727" s="20"/>
      <c r="Q727" s="19"/>
      <c r="S727" s="19"/>
      <c r="T727" s="19"/>
      <c r="U727" s="19"/>
      <c r="V727" s="19"/>
      <c r="W727" s="19"/>
      <c r="X727" s="19"/>
    </row>
    <row r="728" ht="15.75" customHeight="1">
      <c r="D728" s="19"/>
      <c r="E728" s="19"/>
      <c r="F728" s="19"/>
      <c r="H728" s="19"/>
      <c r="I728" s="5"/>
      <c r="J728" s="19"/>
      <c r="K728" s="19"/>
      <c r="L728" s="19"/>
      <c r="O728" s="20"/>
      <c r="P728" s="20"/>
      <c r="Q728" s="19"/>
      <c r="S728" s="19"/>
      <c r="T728" s="19"/>
      <c r="U728" s="19"/>
      <c r="V728" s="19"/>
      <c r="W728" s="19"/>
      <c r="X728" s="19"/>
    </row>
    <row r="729" ht="15.75" customHeight="1">
      <c r="D729" s="19"/>
      <c r="E729" s="19"/>
      <c r="F729" s="19"/>
      <c r="H729" s="19"/>
      <c r="I729" s="5"/>
      <c r="J729" s="19"/>
      <c r="K729" s="19"/>
      <c r="L729" s="19"/>
      <c r="O729" s="20"/>
      <c r="P729" s="20"/>
      <c r="Q729" s="19"/>
      <c r="S729" s="19"/>
      <c r="T729" s="19"/>
      <c r="U729" s="19"/>
      <c r="V729" s="19"/>
      <c r="W729" s="19"/>
      <c r="X729" s="19"/>
    </row>
    <row r="730" ht="15.75" customHeight="1">
      <c r="D730" s="19"/>
      <c r="E730" s="19"/>
      <c r="F730" s="19"/>
      <c r="H730" s="19"/>
      <c r="I730" s="5"/>
      <c r="J730" s="19"/>
      <c r="K730" s="19"/>
      <c r="L730" s="19"/>
      <c r="O730" s="20"/>
      <c r="P730" s="20"/>
      <c r="Q730" s="19"/>
      <c r="S730" s="19"/>
      <c r="T730" s="19"/>
      <c r="U730" s="19"/>
      <c r="V730" s="19"/>
      <c r="W730" s="19"/>
      <c r="X730" s="19"/>
    </row>
    <row r="731" ht="15.75" customHeight="1">
      <c r="D731" s="19"/>
      <c r="E731" s="19"/>
      <c r="F731" s="19"/>
      <c r="H731" s="19"/>
      <c r="I731" s="5"/>
      <c r="J731" s="19"/>
      <c r="K731" s="19"/>
      <c r="L731" s="19"/>
      <c r="O731" s="20"/>
      <c r="P731" s="20"/>
      <c r="Q731" s="19"/>
      <c r="S731" s="19"/>
      <c r="T731" s="19"/>
      <c r="U731" s="19"/>
      <c r="V731" s="19"/>
      <c r="W731" s="19"/>
      <c r="X731" s="19"/>
    </row>
    <row r="732" ht="15.75" customHeight="1">
      <c r="D732" s="19"/>
      <c r="E732" s="19"/>
      <c r="F732" s="19"/>
      <c r="H732" s="19"/>
      <c r="I732" s="5"/>
      <c r="J732" s="19"/>
      <c r="K732" s="19"/>
      <c r="L732" s="19"/>
      <c r="O732" s="20"/>
      <c r="P732" s="20"/>
      <c r="Q732" s="19"/>
      <c r="S732" s="19"/>
      <c r="T732" s="19"/>
      <c r="U732" s="19"/>
      <c r="V732" s="19"/>
      <c r="W732" s="19"/>
      <c r="X732" s="19"/>
    </row>
    <row r="733" ht="15.75" customHeight="1">
      <c r="D733" s="19"/>
      <c r="E733" s="19"/>
      <c r="F733" s="19"/>
      <c r="H733" s="19"/>
      <c r="I733" s="5"/>
      <c r="J733" s="19"/>
      <c r="K733" s="19"/>
      <c r="L733" s="19"/>
      <c r="O733" s="20"/>
      <c r="P733" s="20"/>
      <c r="Q733" s="19"/>
      <c r="S733" s="19"/>
      <c r="T733" s="19"/>
      <c r="U733" s="19"/>
      <c r="V733" s="19"/>
      <c r="W733" s="19"/>
      <c r="X733" s="19"/>
    </row>
    <row r="734" ht="15.75" customHeight="1">
      <c r="D734" s="19"/>
      <c r="E734" s="19"/>
      <c r="F734" s="19"/>
      <c r="H734" s="19"/>
      <c r="I734" s="5"/>
      <c r="J734" s="19"/>
      <c r="K734" s="19"/>
      <c r="L734" s="19"/>
      <c r="O734" s="20"/>
      <c r="P734" s="20"/>
      <c r="Q734" s="19"/>
      <c r="S734" s="19"/>
      <c r="T734" s="19"/>
      <c r="U734" s="19"/>
      <c r="V734" s="19"/>
      <c r="W734" s="19"/>
      <c r="X734" s="19"/>
    </row>
    <row r="735" ht="15.75" customHeight="1">
      <c r="D735" s="19"/>
      <c r="E735" s="19"/>
      <c r="F735" s="19"/>
      <c r="H735" s="19"/>
      <c r="I735" s="5"/>
      <c r="J735" s="19"/>
      <c r="K735" s="19"/>
      <c r="L735" s="19"/>
      <c r="O735" s="20"/>
      <c r="P735" s="20"/>
      <c r="Q735" s="19"/>
      <c r="S735" s="19"/>
      <c r="T735" s="19"/>
      <c r="U735" s="19"/>
      <c r="V735" s="19"/>
      <c r="W735" s="19"/>
      <c r="X735" s="19"/>
    </row>
    <row r="736" ht="15.75" customHeight="1">
      <c r="D736" s="19"/>
      <c r="E736" s="19"/>
      <c r="F736" s="19"/>
      <c r="H736" s="19"/>
      <c r="I736" s="5"/>
      <c r="J736" s="19"/>
      <c r="K736" s="19"/>
      <c r="L736" s="19"/>
      <c r="O736" s="20"/>
      <c r="P736" s="20"/>
      <c r="Q736" s="19"/>
      <c r="S736" s="19"/>
      <c r="T736" s="19"/>
      <c r="U736" s="19"/>
      <c r="V736" s="19"/>
      <c r="W736" s="19"/>
      <c r="X736" s="19"/>
    </row>
    <row r="737" ht="15.75" customHeight="1">
      <c r="D737" s="19"/>
      <c r="E737" s="19"/>
      <c r="F737" s="19"/>
      <c r="H737" s="19"/>
      <c r="I737" s="5"/>
      <c r="J737" s="19"/>
      <c r="K737" s="19"/>
      <c r="L737" s="19"/>
      <c r="O737" s="20"/>
      <c r="P737" s="20"/>
      <c r="Q737" s="19"/>
      <c r="S737" s="19"/>
      <c r="T737" s="19"/>
      <c r="U737" s="19"/>
      <c r="V737" s="19"/>
      <c r="W737" s="19"/>
      <c r="X737" s="19"/>
    </row>
    <row r="738" ht="15.75" customHeight="1">
      <c r="D738" s="19"/>
      <c r="E738" s="19"/>
      <c r="F738" s="19"/>
      <c r="H738" s="19"/>
      <c r="I738" s="5"/>
      <c r="J738" s="19"/>
      <c r="K738" s="19"/>
      <c r="L738" s="19"/>
      <c r="O738" s="20"/>
      <c r="P738" s="20"/>
      <c r="Q738" s="19"/>
      <c r="S738" s="19"/>
      <c r="T738" s="19"/>
      <c r="U738" s="19"/>
      <c r="V738" s="19"/>
      <c r="W738" s="19"/>
      <c r="X738" s="19"/>
    </row>
    <row r="739" ht="15.75" customHeight="1">
      <c r="D739" s="19"/>
      <c r="E739" s="19"/>
      <c r="F739" s="19"/>
      <c r="H739" s="19"/>
      <c r="I739" s="5"/>
      <c r="J739" s="19"/>
      <c r="K739" s="19"/>
      <c r="L739" s="19"/>
      <c r="O739" s="20"/>
      <c r="P739" s="20"/>
      <c r="Q739" s="19"/>
      <c r="S739" s="19"/>
      <c r="T739" s="19"/>
      <c r="U739" s="19"/>
      <c r="V739" s="19"/>
      <c r="W739" s="19"/>
      <c r="X739" s="19"/>
    </row>
    <row r="740" ht="15.75" customHeight="1">
      <c r="D740" s="19"/>
      <c r="E740" s="19"/>
      <c r="F740" s="19"/>
      <c r="H740" s="19"/>
      <c r="I740" s="5"/>
      <c r="J740" s="19"/>
      <c r="K740" s="19"/>
      <c r="L740" s="19"/>
      <c r="O740" s="20"/>
      <c r="P740" s="20"/>
      <c r="Q740" s="19"/>
      <c r="S740" s="19"/>
      <c r="T740" s="19"/>
      <c r="U740" s="19"/>
      <c r="V740" s="19"/>
      <c r="W740" s="19"/>
      <c r="X740" s="19"/>
    </row>
    <row r="741" ht="15.75" customHeight="1">
      <c r="D741" s="19"/>
      <c r="E741" s="19"/>
      <c r="F741" s="19"/>
      <c r="H741" s="19"/>
      <c r="I741" s="5"/>
      <c r="J741" s="19"/>
      <c r="K741" s="19"/>
      <c r="L741" s="19"/>
      <c r="O741" s="20"/>
      <c r="P741" s="20"/>
      <c r="Q741" s="19"/>
      <c r="S741" s="19"/>
      <c r="T741" s="19"/>
      <c r="U741" s="19"/>
      <c r="V741" s="19"/>
      <c r="W741" s="19"/>
      <c r="X741" s="19"/>
    </row>
    <row r="742" ht="15.75" customHeight="1">
      <c r="D742" s="19"/>
      <c r="E742" s="19"/>
      <c r="F742" s="19"/>
      <c r="H742" s="19"/>
      <c r="I742" s="5"/>
      <c r="J742" s="19"/>
      <c r="K742" s="19"/>
      <c r="L742" s="19"/>
      <c r="O742" s="20"/>
      <c r="P742" s="20"/>
      <c r="Q742" s="19"/>
      <c r="S742" s="19"/>
      <c r="T742" s="19"/>
      <c r="U742" s="19"/>
      <c r="V742" s="19"/>
      <c r="W742" s="19"/>
      <c r="X742" s="19"/>
    </row>
    <row r="743" ht="15.75" customHeight="1">
      <c r="D743" s="19"/>
      <c r="E743" s="19"/>
      <c r="F743" s="19"/>
      <c r="H743" s="19"/>
      <c r="I743" s="5"/>
      <c r="J743" s="19"/>
      <c r="K743" s="19"/>
      <c r="L743" s="19"/>
      <c r="O743" s="20"/>
      <c r="P743" s="20"/>
      <c r="Q743" s="19"/>
      <c r="S743" s="19"/>
      <c r="T743" s="19"/>
      <c r="U743" s="19"/>
      <c r="V743" s="19"/>
      <c r="W743" s="19"/>
      <c r="X743" s="19"/>
    </row>
    <row r="744" ht="15.75" customHeight="1">
      <c r="D744" s="19"/>
      <c r="E744" s="19"/>
      <c r="F744" s="19"/>
      <c r="H744" s="19"/>
      <c r="I744" s="5"/>
      <c r="J744" s="19"/>
      <c r="K744" s="19"/>
      <c r="L744" s="19"/>
      <c r="O744" s="20"/>
      <c r="P744" s="20"/>
      <c r="Q744" s="19"/>
      <c r="S744" s="19"/>
      <c r="T744" s="19"/>
      <c r="U744" s="19"/>
      <c r="V744" s="19"/>
      <c r="W744" s="19"/>
      <c r="X744" s="19"/>
    </row>
    <row r="745" ht="15.75" customHeight="1">
      <c r="D745" s="19"/>
      <c r="E745" s="19"/>
      <c r="F745" s="19"/>
      <c r="H745" s="19"/>
      <c r="I745" s="5"/>
      <c r="J745" s="19"/>
      <c r="K745" s="19"/>
      <c r="L745" s="19"/>
      <c r="O745" s="20"/>
      <c r="P745" s="20"/>
      <c r="Q745" s="19"/>
      <c r="S745" s="19"/>
      <c r="T745" s="19"/>
      <c r="U745" s="19"/>
      <c r="V745" s="19"/>
      <c r="W745" s="19"/>
      <c r="X745" s="19"/>
    </row>
    <row r="746" ht="15.75" customHeight="1">
      <c r="D746" s="19"/>
      <c r="E746" s="19"/>
      <c r="F746" s="19"/>
      <c r="H746" s="19"/>
      <c r="I746" s="5"/>
      <c r="J746" s="19"/>
      <c r="K746" s="19"/>
      <c r="L746" s="19"/>
      <c r="O746" s="20"/>
      <c r="P746" s="20"/>
      <c r="Q746" s="19"/>
      <c r="S746" s="19"/>
      <c r="T746" s="19"/>
      <c r="U746" s="19"/>
      <c r="V746" s="19"/>
      <c r="W746" s="19"/>
      <c r="X746" s="19"/>
    </row>
    <row r="747" ht="15.75" customHeight="1">
      <c r="D747" s="19"/>
      <c r="E747" s="19"/>
      <c r="F747" s="19"/>
      <c r="H747" s="19"/>
      <c r="I747" s="5"/>
      <c r="J747" s="19"/>
      <c r="K747" s="19"/>
      <c r="L747" s="19"/>
      <c r="O747" s="20"/>
      <c r="P747" s="20"/>
      <c r="Q747" s="19"/>
      <c r="S747" s="19"/>
      <c r="T747" s="19"/>
      <c r="U747" s="19"/>
      <c r="V747" s="19"/>
      <c r="W747" s="19"/>
      <c r="X747" s="19"/>
    </row>
    <row r="748" ht="15.75" customHeight="1">
      <c r="D748" s="19"/>
      <c r="E748" s="19"/>
      <c r="F748" s="19"/>
      <c r="H748" s="19"/>
      <c r="I748" s="5"/>
      <c r="J748" s="19"/>
      <c r="K748" s="19"/>
      <c r="L748" s="19"/>
      <c r="O748" s="20"/>
      <c r="P748" s="20"/>
      <c r="Q748" s="19"/>
      <c r="S748" s="19"/>
      <c r="T748" s="19"/>
      <c r="U748" s="19"/>
      <c r="V748" s="19"/>
      <c r="W748" s="19"/>
      <c r="X748" s="19"/>
    </row>
    <row r="749" ht="15.75" customHeight="1">
      <c r="D749" s="19"/>
      <c r="E749" s="19"/>
      <c r="F749" s="19"/>
      <c r="H749" s="19"/>
      <c r="I749" s="5"/>
      <c r="J749" s="19"/>
      <c r="K749" s="19"/>
      <c r="L749" s="19"/>
      <c r="O749" s="20"/>
      <c r="P749" s="20"/>
      <c r="Q749" s="19"/>
      <c r="S749" s="19"/>
      <c r="T749" s="19"/>
      <c r="U749" s="19"/>
      <c r="V749" s="19"/>
      <c r="W749" s="19"/>
      <c r="X749" s="19"/>
    </row>
    <row r="750" ht="15.75" customHeight="1">
      <c r="D750" s="19"/>
      <c r="E750" s="19"/>
      <c r="F750" s="19"/>
      <c r="H750" s="19"/>
      <c r="I750" s="5"/>
      <c r="J750" s="19"/>
      <c r="K750" s="19"/>
      <c r="L750" s="19"/>
      <c r="O750" s="20"/>
      <c r="P750" s="20"/>
      <c r="Q750" s="19"/>
      <c r="S750" s="19"/>
      <c r="T750" s="19"/>
      <c r="U750" s="19"/>
      <c r="V750" s="19"/>
      <c r="W750" s="19"/>
      <c r="X750" s="19"/>
    </row>
    <row r="751" ht="15.75" customHeight="1">
      <c r="D751" s="19"/>
      <c r="E751" s="19"/>
      <c r="F751" s="19"/>
      <c r="H751" s="19"/>
      <c r="I751" s="5"/>
      <c r="J751" s="19"/>
      <c r="K751" s="19"/>
      <c r="L751" s="19"/>
      <c r="O751" s="20"/>
      <c r="P751" s="20"/>
      <c r="Q751" s="19"/>
      <c r="S751" s="19"/>
      <c r="T751" s="19"/>
      <c r="U751" s="19"/>
      <c r="V751" s="19"/>
      <c r="W751" s="19"/>
      <c r="X751" s="19"/>
    </row>
    <row r="752" ht="15.75" customHeight="1">
      <c r="D752" s="19"/>
      <c r="E752" s="19"/>
      <c r="F752" s="19"/>
      <c r="H752" s="19"/>
      <c r="I752" s="5"/>
      <c r="J752" s="19"/>
      <c r="K752" s="19"/>
      <c r="L752" s="19"/>
      <c r="O752" s="20"/>
      <c r="P752" s="20"/>
      <c r="Q752" s="19"/>
      <c r="S752" s="19"/>
      <c r="T752" s="19"/>
      <c r="U752" s="19"/>
      <c r="V752" s="19"/>
      <c r="W752" s="19"/>
      <c r="X752" s="19"/>
    </row>
    <row r="753" ht="15.75" customHeight="1">
      <c r="D753" s="19"/>
      <c r="E753" s="19"/>
      <c r="F753" s="19"/>
      <c r="H753" s="19"/>
      <c r="I753" s="5"/>
      <c r="J753" s="19"/>
      <c r="K753" s="19"/>
      <c r="L753" s="19"/>
      <c r="O753" s="20"/>
      <c r="P753" s="20"/>
      <c r="Q753" s="19"/>
      <c r="S753" s="19"/>
      <c r="T753" s="19"/>
      <c r="U753" s="19"/>
      <c r="V753" s="19"/>
      <c r="W753" s="19"/>
      <c r="X753" s="19"/>
    </row>
    <row r="754" ht="15.75" customHeight="1">
      <c r="D754" s="19"/>
      <c r="E754" s="19"/>
      <c r="F754" s="19"/>
      <c r="H754" s="19"/>
      <c r="I754" s="5"/>
      <c r="J754" s="19"/>
      <c r="K754" s="19"/>
      <c r="L754" s="19"/>
      <c r="O754" s="20"/>
      <c r="P754" s="20"/>
      <c r="Q754" s="19"/>
      <c r="S754" s="19"/>
      <c r="T754" s="19"/>
      <c r="U754" s="19"/>
      <c r="V754" s="19"/>
      <c r="W754" s="19"/>
      <c r="X754" s="19"/>
    </row>
    <row r="755" ht="15.75" customHeight="1">
      <c r="D755" s="19"/>
      <c r="E755" s="19"/>
      <c r="F755" s="19"/>
      <c r="H755" s="19"/>
      <c r="I755" s="5"/>
      <c r="J755" s="19"/>
      <c r="K755" s="19"/>
      <c r="L755" s="19"/>
      <c r="O755" s="20"/>
      <c r="P755" s="20"/>
      <c r="Q755" s="19"/>
      <c r="S755" s="19"/>
      <c r="T755" s="19"/>
      <c r="U755" s="19"/>
      <c r="V755" s="19"/>
      <c r="W755" s="19"/>
      <c r="X755" s="19"/>
    </row>
    <row r="756" ht="15.75" customHeight="1">
      <c r="D756" s="19"/>
      <c r="E756" s="19"/>
      <c r="F756" s="19"/>
      <c r="H756" s="19"/>
      <c r="I756" s="5"/>
      <c r="J756" s="19"/>
      <c r="K756" s="19"/>
      <c r="L756" s="19"/>
      <c r="O756" s="20"/>
      <c r="P756" s="20"/>
      <c r="Q756" s="19"/>
      <c r="S756" s="19"/>
      <c r="T756" s="19"/>
      <c r="U756" s="19"/>
      <c r="V756" s="19"/>
      <c r="W756" s="19"/>
      <c r="X756" s="19"/>
    </row>
    <row r="757" ht="15.75" customHeight="1">
      <c r="D757" s="19"/>
      <c r="E757" s="19"/>
      <c r="F757" s="19"/>
      <c r="H757" s="19"/>
      <c r="I757" s="5"/>
      <c r="J757" s="19"/>
      <c r="K757" s="19"/>
      <c r="L757" s="19"/>
      <c r="O757" s="20"/>
      <c r="P757" s="20"/>
      <c r="Q757" s="19"/>
      <c r="S757" s="19"/>
      <c r="T757" s="19"/>
      <c r="U757" s="19"/>
      <c r="V757" s="19"/>
      <c r="W757" s="19"/>
      <c r="X757" s="19"/>
    </row>
    <row r="758" ht="15.75" customHeight="1">
      <c r="D758" s="19"/>
      <c r="E758" s="19"/>
      <c r="F758" s="19"/>
      <c r="H758" s="19"/>
      <c r="I758" s="5"/>
      <c r="J758" s="19"/>
      <c r="K758" s="19"/>
      <c r="L758" s="19"/>
      <c r="O758" s="20"/>
      <c r="P758" s="20"/>
      <c r="Q758" s="19"/>
      <c r="S758" s="19"/>
      <c r="T758" s="19"/>
      <c r="U758" s="19"/>
      <c r="V758" s="19"/>
      <c r="W758" s="19"/>
      <c r="X758" s="19"/>
    </row>
    <row r="759" ht="15.75" customHeight="1">
      <c r="D759" s="19"/>
      <c r="E759" s="19"/>
      <c r="F759" s="19"/>
      <c r="H759" s="19"/>
      <c r="I759" s="5"/>
      <c r="J759" s="19"/>
      <c r="K759" s="19"/>
      <c r="L759" s="19"/>
      <c r="O759" s="20"/>
      <c r="P759" s="20"/>
      <c r="Q759" s="19"/>
      <c r="S759" s="19"/>
      <c r="T759" s="19"/>
      <c r="U759" s="19"/>
      <c r="V759" s="19"/>
      <c r="W759" s="19"/>
      <c r="X759" s="19"/>
    </row>
    <row r="760" ht="15.75" customHeight="1">
      <c r="D760" s="19"/>
      <c r="E760" s="19"/>
      <c r="F760" s="19"/>
      <c r="H760" s="19"/>
      <c r="I760" s="5"/>
      <c r="J760" s="19"/>
      <c r="K760" s="19"/>
      <c r="L760" s="19"/>
      <c r="O760" s="20"/>
      <c r="P760" s="20"/>
      <c r="Q760" s="19"/>
      <c r="S760" s="19"/>
      <c r="T760" s="19"/>
      <c r="U760" s="19"/>
      <c r="V760" s="19"/>
      <c r="W760" s="19"/>
      <c r="X760" s="19"/>
    </row>
    <row r="761" ht="15.75" customHeight="1">
      <c r="D761" s="19"/>
      <c r="E761" s="19"/>
      <c r="F761" s="19"/>
      <c r="H761" s="19"/>
      <c r="I761" s="5"/>
      <c r="J761" s="19"/>
      <c r="K761" s="19"/>
      <c r="L761" s="19"/>
      <c r="O761" s="20"/>
      <c r="P761" s="20"/>
      <c r="Q761" s="19"/>
      <c r="S761" s="19"/>
      <c r="T761" s="19"/>
      <c r="U761" s="19"/>
      <c r="V761" s="19"/>
      <c r="W761" s="19"/>
      <c r="X761" s="19"/>
    </row>
    <row r="762" ht="15.75" customHeight="1">
      <c r="D762" s="19"/>
      <c r="E762" s="19"/>
      <c r="F762" s="19"/>
      <c r="H762" s="19"/>
      <c r="I762" s="5"/>
      <c r="J762" s="19"/>
      <c r="K762" s="19"/>
      <c r="L762" s="19"/>
      <c r="O762" s="20"/>
      <c r="P762" s="20"/>
      <c r="Q762" s="19"/>
      <c r="S762" s="19"/>
      <c r="T762" s="19"/>
      <c r="U762" s="19"/>
      <c r="V762" s="19"/>
      <c r="W762" s="19"/>
      <c r="X762" s="19"/>
    </row>
    <row r="763" ht="15.75" customHeight="1">
      <c r="D763" s="19"/>
      <c r="E763" s="19"/>
      <c r="F763" s="19"/>
      <c r="H763" s="19"/>
      <c r="I763" s="5"/>
      <c r="J763" s="19"/>
      <c r="K763" s="19"/>
      <c r="L763" s="19"/>
      <c r="O763" s="20"/>
      <c r="P763" s="20"/>
      <c r="Q763" s="19"/>
      <c r="S763" s="19"/>
      <c r="T763" s="19"/>
      <c r="U763" s="19"/>
      <c r="V763" s="19"/>
      <c r="W763" s="19"/>
      <c r="X763" s="19"/>
    </row>
    <row r="764" ht="15.75" customHeight="1">
      <c r="D764" s="19"/>
      <c r="E764" s="19"/>
      <c r="F764" s="19"/>
      <c r="H764" s="19"/>
      <c r="I764" s="5"/>
      <c r="J764" s="19"/>
      <c r="K764" s="19"/>
      <c r="L764" s="19"/>
      <c r="O764" s="20"/>
      <c r="P764" s="20"/>
      <c r="Q764" s="19"/>
      <c r="S764" s="19"/>
      <c r="T764" s="19"/>
      <c r="U764" s="19"/>
      <c r="V764" s="19"/>
      <c r="W764" s="19"/>
      <c r="X764" s="19"/>
    </row>
    <row r="765" ht="15.75" customHeight="1">
      <c r="D765" s="19"/>
      <c r="E765" s="19"/>
      <c r="F765" s="19"/>
      <c r="H765" s="19"/>
      <c r="I765" s="5"/>
      <c r="J765" s="19"/>
      <c r="K765" s="19"/>
      <c r="L765" s="19"/>
      <c r="O765" s="20"/>
      <c r="P765" s="20"/>
      <c r="Q765" s="19"/>
      <c r="S765" s="19"/>
      <c r="T765" s="19"/>
      <c r="U765" s="19"/>
      <c r="V765" s="19"/>
      <c r="W765" s="19"/>
      <c r="X765" s="19"/>
    </row>
    <row r="766" ht="15.75" customHeight="1">
      <c r="D766" s="19"/>
      <c r="E766" s="19"/>
      <c r="F766" s="19"/>
      <c r="H766" s="19"/>
      <c r="I766" s="5"/>
      <c r="J766" s="19"/>
      <c r="K766" s="19"/>
      <c r="L766" s="19"/>
      <c r="O766" s="20"/>
      <c r="P766" s="20"/>
      <c r="Q766" s="19"/>
      <c r="S766" s="19"/>
      <c r="T766" s="19"/>
      <c r="U766" s="19"/>
      <c r="V766" s="19"/>
      <c r="W766" s="19"/>
      <c r="X766" s="19"/>
    </row>
    <row r="767" ht="15.75" customHeight="1">
      <c r="D767" s="19"/>
      <c r="E767" s="19"/>
      <c r="F767" s="19"/>
      <c r="H767" s="19"/>
      <c r="I767" s="5"/>
      <c r="J767" s="19"/>
      <c r="K767" s="19"/>
      <c r="L767" s="19"/>
      <c r="O767" s="20"/>
      <c r="P767" s="20"/>
      <c r="Q767" s="19"/>
      <c r="S767" s="19"/>
      <c r="T767" s="19"/>
      <c r="U767" s="19"/>
      <c r="V767" s="19"/>
      <c r="W767" s="19"/>
      <c r="X767" s="19"/>
    </row>
    <row r="768" ht="15.75" customHeight="1">
      <c r="D768" s="19"/>
      <c r="E768" s="19"/>
      <c r="F768" s="19"/>
      <c r="H768" s="19"/>
      <c r="I768" s="5"/>
      <c r="J768" s="19"/>
      <c r="K768" s="19"/>
      <c r="L768" s="19"/>
      <c r="O768" s="20"/>
      <c r="P768" s="20"/>
      <c r="Q768" s="19"/>
      <c r="S768" s="19"/>
      <c r="T768" s="19"/>
      <c r="U768" s="19"/>
      <c r="V768" s="19"/>
      <c r="W768" s="19"/>
      <c r="X768" s="19"/>
    </row>
    <row r="769" ht="15.75" customHeight="1">
      <c r="D769" s="19"/>
      <c r="E769" s="19"/>
      <c r="F769" s="19"/>
      <c r="H769" s="19"/>
      <c r="I769" s="5"/>
      <c r="J769" s="19"/>
      <c r="K769" s="19"/>
      <c r="L769" s="19"/>
      <c r="O769" s="20"/>
      <c r="P769" s="20"/>
      <c r="Q769" s="19"/>
      <c r="S769" s="19"/>
      <c r="T769" s="19"/>
      <c r="U769" s="19"/>
      <c r="V769" s="19"/>
      <c r="W769" s="19"/>
      <c r="X769" s="19"/>
    </row>
    <row r="770" ht="15.75" customHeight="1">
      <c r="D770" s="19"/>
      <c r="E770" s="19"/>
      <c r="F770" s="19"/>
      <c r="H770" s="19"/>
      <c r="I770" s="5"/>
      <c r="J770" s="19"/>
      <c r="K770" s="19"/>
      <c r="L770" s="19"/>
      <c r="O770" s="20"/>
      <c r="P770" s="20"/>
      <c r="Q770" s="19"/>
      <c r="S770" s="19"/>
      <c r="T770" s="19"/>
      <c r="U770" s="19"/>
      <c r="V770" s="19"/>
      <c r="W770" s="19"/>
      <c r="X770" s="19"/>
    </row>
    <row r="771" ht="15.75" customHeight="1">
      <c r="D771" s="19"/>
      <c r="E771" s="19"/>
      <c r="F771" s="19"/>
      <c r="H771" s="19"/>
      <c r="I771" s="5"/>
      <c r="J771" s="19"/>
      <c r="K771" s="19"/>
      <c r="L771" s="19"/>
      <c r="O771" s="20"/>
      <c r="P771" s="20"/>
      <c r="Q771" s="19"/>
      <c r="S771" s="19"/>
      <c r="T771" s="19"/>
      <c r="U771" s="19"/>
      <c r="V771" s="19"/>
      <c r="W771" s="19"/>
      <c r="X771" s="19"/>
    </row>
    <row r="772" ht="15.75" customHeight="1">
      <c r="D772" s="19"/>
      <c r="E772" s="19"/>
      <c r="F772" s="19"/>
      <c r="H772" s="19"/>
      <c r="I772" s="5"/>
      <c r="J772" s="19"/>
      <c r="K772" s="19"/>
      <c r="L772" s="19"/>
      <c r="O772" s="20"/>
      <c r="P772" s="20"/>
      <c r="Q772" s="19"/>
      <c r="S772" s="19"/>
      <c r="T772" s="19"/>
      <c r="U772" s="19"/>
      <c r="V772" s="19"/>
      <c r="W772" s="19"/>
      <c r="X772" s="19"/>
    </row>
    <row r="773" ht="15.75" customHeight="1">
      <c r="D773" s="19"/>
      <c r="E773" s="19"/>
      <c r="F773" s="19"/>
      <c r="H773" s="19"/>
      <c r="I773" s="5"/>
      <c r="J773" s="19"/>
      <c r="K773" s="19"/>
      <c r="L773" s="19"/>
      <c r="O773" s="20"/>
      <c r="P773" s="20"/>
      <c r="Q773" s="19"/>
      <c r="S773" s="19"/>
      <c r="T773" s="19"/>
      <c r="U773" s="19"/>
      <c r="V773" s="19"/>
      <c r="W773" s="19"/>
      <c r="X773" s="19"/>
    </row>
    <row r="774" ht="15.75" customHeight="1">
      <c r="D774" s="19"/>
      <c r="E774" s="19"/>
      <c r="F774" s="19"/>
      <c r="H774" s="19"/>
      <c r="I774" s="5"/>
      <c r="J774" s="19"/>
      <c r="K774" s="19"/>
      <c r="L774" s="19"/>
      <c r="O774" s="20"/>
      <c r="P774" s="20"/>
      <c r="Q774" s="19"/>
      <c r="S774" s="19"/>
      <c r="T774" s="19"/>
      <c r="U774" s="19"/>
      <c r="V774" s="19"/>
      <c r="W774" s="19"/>
      <c r="X774" s="19"/>
    </row>
    <row r="775" ht="15.75" customHeight="1">
      <c r="D775" s="19"/>
      <c r="E775" s="19"/>
      <c r="F775" s="19"/>
      <c r="H775" s="19"/>
      <c r="I775" s="5"/>
      <c r="J775" s="19"/>
      <c r="K775" s="19"/>
      <c r="L775" s="19"/>
      <c r="O775" s="20"/>
      <c r="P775" s="20"/>
      <c r="Q775" s="19"/>
      <c r="S775" s="19"/>
      <c r="T775" s="19"/>
      <c r="U775" s="19"/>
      <c r="V775" s="19"/>
      <c r="W775" s="19"/>
      <c r="X775" s="19"/>
    </row>
    <row r="776" ht="15.75" customHeight="1">
      <c r="D776" s="19"/>
      <c r="E776" s="19"/>
      <c r="F776" s="19"/>
      <c r="H776" s="19"/>
      <c r="I776" s="5"/>
      <c r="J776" s="19"/>
      <c r="K776" s="19"/>
      <c r="L776" s="19"/>
      <c r="O776" s="20"/>
      <c r="P776" s="20"/>
      <c r="Q776" s="19"/>
      <c r="S776" s="19"/>
      <c r="T776" s="19"/>
      <c r="U776" s="19"/>
      <c r="V776" s="19"/>
      <c r="W776" s="19"/>
      <c r="X776" s="19"/>
    </row>
    <row r="777" ht="15.75" customHeight="1">
      <c r="D777" s="19"/>
      <c r="E777" s="19"/>
      <c r="F777" s="19"/>
      <c r="H777" s="19"/>
      <c r="I777" s="5"/>
      <c r="J777" s="19"/>
      <c r="K777" s="19"/>
      <c r="L777" s="19"/>
      <c r="O777" s="20"/>
      <c r="P777" s="20"/>
      <c r="Q777" s="19"/>
      <c r="S777" s="19"/>
      <c r="T777" s="19"/>
      <c r="U777" s="19"/>
      <c r="V777" s="19"/>
      <c r="W777" s="19"/>
      <c r="X777" s="19"/>
    </row>
    <row r="778" ht="15.75" customHeight="1">
      <c r="D778" s="19"/>
      <c r="E778" s="19"/>
      <c r="F778" s="19"/>
      <c r="H778" s="19"/>
      <c r="I778" s="5"/>
      <c r="J778" s="19"/>
      <c r="K778" s="19"/>
      <c r="L778" s="19"/>
      <c r="O778" s="20"/>
      <c r="P778" s="20"/>
      <c r="Q778" s="19"/>
      <c r="S778" s="19"/>
      <c r="T778" s="19"/>
      <c r="U778" s="19"/>
      <c r="V778" s="19"/>
      <c r="W778" s="19"/>
      <c r="X778" s="19"/>
    </row>
    <row r="779" ht="15.75" customHeight="1">
      <c r="D779" s="19"/>
      <c r="E779" s="19"/>
      <c r="F779" s="19"/>
      <c r="H779" s="19"/>
      <c r="I779" s="5"/>
      <c r="J779" s="19"/>
      <c r="K779" s="19"/>
      <c r="L779" s="19"/>
      <c r="O779" s="20"/>
      <c r="P779" s="20"/>
      <c r="Q779" s="19"/>
      <c r="S779" s="19"/>
      <c r="T779" s="19"/>
      <c r="U779" s="19"/>
      <c r="V779" s="19"/>
      <c r="W779" s="19"/>
      <c r="X779" s="19"/>
    </row>
    <row r="780" ht="15.75" customHeight="1">
      <c r="D780" s="19"/>
      <c r="E780" s="19"/>
      <c r="F780" s="19"/>
      <c r="H780" s="19"/>
      <c r="I780" s="5"/>
      <c r="J780" s="19"/>
      <c r="K780" s="19"/>
      <c r="L780" s="19"/>
      <c r="O780" s="20"/>
      <c r="P780" s="20"/>
      <c r="Q780" s="19"/>
      <c r="S780" s="19"/>
      <c r="T780" s="19"/>
      <c r="U780" s="19"/>
      <c r="V780" s="19"/>
      <c r="W780" s="19"/>
      <c r="X780" s="19"/>
    </row>
    <row r="781" ht="15.75" customHeight="1">
      <c r="D781" s="19"/>
      <c r="E781" s="19"/>
      <c r="F781" s="19"/>
      <c r="H781" s="19"/>
      <c r="I781" s="5"/>
      <c r="J781" s="19"/>
      <c r="K781" s="19"/>
      <c r="L781" s="19"/>
      <c r="O781" s="20"/>
      <c r="P781" s="20"/>
      <c r="Q781" s="19"/>
      <c r="S781" s="19"/>
      <c r="T781" s="19"/>
      <c r="U781" s="19"/>
      <c r="V781" s="19"/>
      <c r="W781" s="19"/>
      <c r="X781" s="19"/>
    </row>
    <row r="782" ht="15.75" customHeight="1">
      <c r="D782" s="19"/>
      <c r="E782" s="19"/>
      <c r="F782" s="19"/>
      <c r="H782" s="19"/>
      <c r="I782" s="5"/>
      <c r="J782" s="19"/>
      <c r="K782" s="19"/>
      <c r="L782" s="19"/>
      <c r="O782" s="20"/>
      <c r="P782" s="20"/>
      <c r="Q782" s="19"/>
      <c r="S782" s="19"/>
      <c r="T782" s="19"/>
      <c r="U782" s="19"/>
      <c r="V782" s="19"/>
      <c r="W782" s="19"/>
      <c r="X782" s="19"/>
    </row>
    <row r="783" ht="15.75" customHeight="1">
      <c r="D783" s="19"/>
      <c r="E783" s="19"/>
      <c r="F783" s="19"/>
      <c r="H783" s="19"/>
      <c r="I783" s="5"/>
      <c r="J783" s="19"/>
      <c r="K783" s="19"/>
      <c r="L783" s="19"/>
      <c r="O783" s="20"/>
      <c r="P783" s="20"/>
      <c r="Q783" s="19"/>
      <c r="S783" s="19"/>
      <c r="T783" s="19"/>
      <c r="U783" s="19"/>
      <c r="V783" s="19"/>
      <c r="W783" s="19"/>
      <c r="X783" s="19"/>
    </row>
    <row r="784" ht="15.75" customHeight="1">
      <c r="D784" s="19"/>
      <c r="E784" s="19"/>
      <c r="F784" s="19"/>
      <c r="H784" s="19"/>
      <c r="I784" s="5"/>
      <c r="J784" s="19"/>
      <c r="K784" s="19"/>
      <c r="L784" s="19"/>
      <c r="O784" s="20"/>
      <c r="P784" s="20"/>
      <c r="Q784" s="19"/>
      <c r="S784" s="19"/>
      <c r="T784" s="19"/>
      <c r="U784" s="19"/>
      <c r="V784" s="19"/>
      <c r="W784" s="19"/>
      <c r="X784" s="19"/>
    </row>
    <row r="785" ht="15.75" customHeight="1">
      <c r="D785" s="19"/>
      <c r="E785" s="19"/>
      <c r="F785" s="19"/>
      <c r="H785" s="19"/>
      <c r="I785" s="5"/>
      <c r="J785" s="19"/>
      <c r="K785" s="19"/>
      <c r="L785" s="19"/>
      <c r="O785" s="20"/>
      <c r="P785" s="20"/>
      <c r="Q785" s="19"/>
      <c r="S785" s="19"/>
      <c r="T785" s="19"/>
      <c r="U785" s="19"/>
      <c r="V785" s="19"/>
      <c r="W785" s="19"/>
      <c r="X785" s="19"/>
    </row>
    <row r="786" ht="15.75" customHeight="1">
      <c r="D786" s="19"/>
      <c r="E786" s="19"/>
      <c r="F786" s="19"/>
      <c r="H786" s="19"/>
      <c r="I786" s="5"/>
      <c r="J786" s="19"/>
      <c r="K786" s="19"/>
      <c r="L786" s="19"/>
      <c r="O786" s="20"/>
      <c r="P786" s="20"/>
      <c r="Q786" s="19"/>
      <c r="S786" s="19"/>
      <c r="T786" s="19"/>
      <c r="U786" s="19"/>
      <c r="V786" s="19"/>
      <c r="W786" s="19"/>
      <c r="X786" s="19"/>
    </row>
    <row r="787" ht="15.75" customHeight="1">
      <c r="D787" s="19"/>
      <c r="E787" s="19"/>
      <c r="F787" s="19"/>
      <c r="H787" s="19"/>
      <c r="I787" s="5"/>
      <c r="J787" s="19"/>
      <c r="K787" s="19"/>
      <c r="L787" s="19"/>
      <c r="O787" s="20"/>
      <c r="P787" s="20"/>
      <c r="Q787" s="19"/>
      <c r="S787" s="19"/>
      <c r="T787" s="19"/>
      <c r="U787" s="19"/>
      <c r="V787" s="19"/>
      <c r="W787" s="19"/>
      <c r="X787" s="19"/>
    </row>
    <row r="788" ht="15.75" customHeight="1">
      <c r="D788" s="19"/>
      <c r="E788" s="19"/>
      <c r="F788" s="19"/>
      <c r="H788" s="19"/>
      <c r="I788" s="5"/>
      <c r="J788" s="19"/>
      <c r="K788" s="19"/>
      <c r="L788" s="19"/>
      <c r="O788" s="20"/>
      <c r="P788" s="20"/>
      <c r="Q788" s="19"/>
      <c r="S788" s="19"/>
      <c r="T788" s="19"/>
      <c r="U788" s="19"/>
      <c r="V788" s="19"/>
      <c r="W788" s="19"/>
      <c r="X788" s="19"/>
    </row>
    <row r="789" ht="15.75" customHeight="1">
      <c r="D789" s="19"/>
      <c r="E789" s="19"/>
      <c r="F789" s="19"/>
      <c r="H789" s="19"/>
      <c r="I789" s="5"/>
      <c r="J789" s="19"/>
      <c r="K789" s="19"/>
      <c r="L789" s="19"/>
      <c r="O789" s="20"/>
      <c r="P789" s="20"/>
      <c r="Q789" s="19"/>
      <c r="S789" s="19"/>
      <c r="T789" s="19"/>
      <c r="U789" s="19"/>
      <c r="V789" s="19"/>
      <c r="W789" s="19"/>
      <c r="X789" s="19"/>
    </row>
    <row r="790" ht="15.75" customHeight="1">
      <c r="D790" s="19"/>
      <c r="E790" s="19"/>
      <c r="F790" s="19"/>
      <c r="H790" s="19"/>
      <c r="I790" s="5"/>
      <c r="J790" s="19"/>
      <c r="K790" s="19"/>
      <c r="L790" s="19"/>
      <c r="O790" s="20"/>
      <c r="P790" s="20"/>
      <c r="Q790" s="19"/>
      <c r="S790" s="19"/>
      <c r="T790" s="19"/>
      <c r="U790" s="19"/>
      <c r="V790" s="19"/>
      <c r="W790" s="19"/>
      <c r="X790" s="19"/>
    </row>
    <row r="791" ht="15.75" customHeight="1">
      <c r="D791" s="19"/>
      <c r="E791" s="19"/>
      <c r="F791" s="19"/>
      <c r="H791" s="19"/>
      <c r="I791" s="5"/>
      <c r="J791" s="19"/>
      <c r="K791" s="19"/>
      <c r="L791" s="19"/>
      <c r="O791" s="20"/>
      <c r="P791" s="20"/>
      <c r="Q791" s="19"/>
      <c r="S791" s="19"/>
      <c r="T791" s="19"/>
      <c r="U791" s="19"/>
      <c r="V791" s="19"/>
      <c r="W791" s="19"/>
      <c r="X791" s="19"/>
    </row>
    <row r="792" ht="15.75" customHeight="1">
      <c r="D792" s="19"/>
      <c r="E792" s="19"/>
      <c r="F792" s="19"/>
      <c r="H792" s="19"/>
      <c r="I792" s="5"/>
      <c r="J792" s="19"/>
      <c r="K792" s="19"/>
      <c r="L792" s="19"/>
      <c r="O792" s="20"/>
      <c r="P792" s="20"/>
      <c r="Q792" s="19"/>
      <c r="S792" s="19"/>
      <c r="T792" s="19"/>
      <c r="U792" s="19"/>
      <c r="V792" s="19"/>
      <c r="W792" s="19"/>
      <c r="X792" s="19"/>
    </row>
    <row r="793" ht="15.75" customHeight="1">
      <c r="D793" s="19"/>
      <c r="E793" s="19"/>
      <c r="F793" s="19"/>
      <c r="H793" s="19"/>
      <c r="I793" s="5"/>
      <c r="J793" s="19"/>
      <c r="K793" s="19"/>
      <c r="L793" s="19"/>
      <c r="O793" s="20"/>
      <c r="P793" s="20"/>
      <c r="Q793" s="19"/>
      <c r="S793" s="19"/>
      <c r="T793" s="19"/>
      <c r="U793" s="19"/>
      <c r="V793" s="19"/>
      <c r="W793" s="19"/>
      <c r="X793" s="19"/>
    </row>
    <row r="794" ht="15.75" customHeight="1">
      <c r="D794" s="19"/>
      <c r="E794" s="19"/>
      <c r="F794" s="19"/>
      <c r="H794" s="19"/>
      <c r="I794" s="5"/>
      <c r="J794" s="19"/>
      <c r="K794" s="19"/>
      <c r="L794" s="19"/>
      <c r="O794" s="20"/>
      <c r="P794" s="20"/>
      <c r="Q794" s="19"/>
      <c r="S794" s="19"/>
      <c r="T794" s="19"/>
      <c r="U794" s="19"/>
      <c r="V794" s="19"/>
      <c r="W794" s="19"/>
      <c r="X794" s="19"/>
    </row>
    <row r="795" ht="15.75" customHeight="1">
      <c r="D795" s="19"/>
      <c r="E795" s="19"/>
      <c r="F795" s="19"/>
      <c r="H795" s="19"/>
      <c r="I795" s="5"/>
      <c r="J795" s="19"/>
      <c r="K795" s="19"/>
      <c r="L795" s="19"/>
      <c r="O795" s="20"/>
      <c r="P795" s="20"/>
      <c r="Q795" s="19"/>
      <c r="S795" s="19"/>
      <c r="T795" s="19"/>
      <c r="U795" s="19"/>
      <c r="V795" s="19"/>
      <c r="W795" s="19"/>
      <c r="X795" s="19"/>
    </row>
    <row r="796" ht="15.75" customHeight="1">
      <c r="D796" s="19"/>
      <c r="E796" s="19"/>
      <c r="F796" s="19"/>
      <c r="H796" s="19"/>
      <c r="I796" s="5"/>
      <c r="J796" s="19"/>
      <c r="K796" s="19"/>
      <c r="L796" s="19"/>
      <c r="O796" s="20"/>
      <c r="P796" s="20"/>
      <c r="Q796" s="19"/>
      <c r="S796" s="19"/>
      <c r="T796" s="19"/>
      <c r="U796" s="19"/>
      <c r="V796" s="19"/>
      <c r="W796" s="19"/>
      <c r="X796" s="19"/>
    </row>
    <row r="797" ht="15.75" customHeight="1">
      <c r="D797" s="19"/>
      <c r="E797" s="19"/>
      <c r="F797" s="19"/>
      <c r="H797" s="19"/>
      <c r="I797" s="5"/>
      <c r="J797" s="19"/>
      <c r="K797" s="19"/>
      <c r="L797" s="19"/>
      <c r="O797" s="20"/>
      <c r="P797" s="20"/>
      <c r="Q797" s="19"/>
      <c r="S797" s="19"/>
      <c r="T797" s="19"/>
      <c r="U797" s="19"/>
      <c r="V797" s="19"/>
      <c r="W797" s="19"/>
      <c r="X797" s="19"/>
    </row>
    <row r="798" ht="15.75" customHeight="1">
      <c r="D798" s="19"/>
      <c r="E798" s="19"/>
      <c r="F798" s="19"/>
      <c r="H798" s="19"/>
      <c r="I798" s="5"/>
      <c r="J798" s="19"/>
      <c r="K798" s="19"/>
      <c r="L798" s="19"/>
      <c r="O798" s="20"/>
      <c r="P798" s="20"/>
      <c r="Q798" s="19"/>
      <c r="S798" s="19"/>
      <c r="T798" s="19"/>
      <c r="U798" s="19"/>
      <c r="V798" s="19"/>
      <c r="W798" s="19"/>
      <c r="X798" s="19"/>
    </row>
    <row r="799" ht="15.75" customHeight="1">
      <c r="D799" s="19"/>
      <c r="E799" s="19"/>
      <c r="F799" s="19"/>
      <c r="H799" s="19"/>
      <c r="I799" s="5"/>
      <c r="J799" s="19"/>
      <c r="K799" s="19"/>
      <c r="L799" s="19"/>
      <c r="O799" s="20"/>
      <c r="P799" s="20"/>
      <c r="Q799" s="19"/>
      <c r="S799" s="19"/>
      <c r="T799" s="19"/>
      <c r="U799" s="19"/>
      <c r="V799" s="19"/>
      <c r="W799" s="19"/>
      <c r="X799" s="19"/>
    </row>
    <row r="800" ht="15.75" customHeight="1">
      <c r="D800" s="19"/>
      <c r="E800" s="19"/>
      <c r="F800" s="19"/>
      <c r="H800" s="19"/>
      <c r="I800" s="5"/>
      <c r="J800" s="19"/>
      <c r="K800" s="19"/>
      <c r="L800" s="19"/>
      <c r="O800" s="20"/>
      <c r="P800" s="20"/>
      <c r="Q800" s="19"/>
      <c r="S800" s="19"/>
      <c r="T800" s="19"/>
      <c r="U800" s="19"/>
      <c r="V800" s="19"/>
      <c r="W800" s="19"/>
      <c r="X800" s="19"/>
    </row>
    <row r="801" ht="15.75" customHeight="1">
      <c r="D801" s="19"/>
      <c r="E801" s="19"/>
      <c r="F801" s="19"/>
      <c r="H801" s="19"/>
      <c r="I801" s="5"/>
      <c r="J801" s="19"/>
      <c r="K801" s="19"/>
      <c r="L801" s="19"/>
      <c r="O801" s="20"/>
      <c r="P801" s="20"/>
      <c r="Q801" s="19"/>
      <c r="S801" s="19"/>
      <c r="T801" s="19"/>
      <c r="U801" s="19"/>
      <c r="V801" s="19"/>
      <c r="W801" s="19"/>
      <c r="X801" s="19"/>
    </row>
    <row r="802" ht="15.75" customHeight="1">
      <c r="D802" s="19"/>
      <c r="E802" s="19"/>
      <c r="F802" s="19"/>
      <c r="H802" s="19"/>
      <c r="I802" s="5"/>
      <c r="J802" s="19"/>
      <c r="K802" s="19"/>
      <c r="L802" s="19"/>
      <c r="O802" s="20"/>
      <c r="P802" s="20"/>
      <c r="Q802" s="19"/>
      <c r="S802" s="19"/>
      <c r="T802" s="19"/>
      <c r="U802" s="19"/>
      <c r="V802" s="19"/>
      <c r="W802" s="19"/>
      <c r="X802" s="19"/>
    </row>
    <row r="803" ht="15.75" customHeight="1">
      <c r="D803" s="19"/>
      <c r="E803" s="19"/>
      <c r="F803" s="19"/>
      <c r="H803" s="19"/>
      <c r="I803" s="5"/>
      <c r="J803" s="19"/>
      <c r="K803" s="19"/>
      <c r="L803" s="19"/>
      <c r="O803" s="20"/>
      <c r="P803" s="20"/>
      <c r="Q803" s="19"/>
      <c r="S803" s="19"/>
      <c r="T803" s="19"/>
      <c r="U803" s="19"/>
      <c r="V803" s="19"/>
      <c r="W803" s="19"/>
      <c r="X803" s="19"/>
    </row>
    <row r="804" ht="15.75" customHeight="1">
      <c r="D804" s="19"/>
      <c r="E804" s="19"/>
      <c r="F804" s="19"/>
      <c r="H804" s="19"/>
      <c r="I804" s="5"/>
      <c r="J804" s="19"/>
      <c r="K804" s="19"/>
      <c r="L804" s="19"/>
      <c r="O804" s="20"/>
      <c r="P804" s="20"/>
      <c r="Q804" s="19"/>
      <c r="S804" s="19"/>
      <c r="T804" s="19"/>
      <c r="U804" s="19"/>
      <c r="V804" s="19"/>
      <c r="W804" s="19"/>
      <c r="X804" s="19"/>
    </row>
    <row r="805" ht="15.75" customHeight="1">
      <c r="D805" s="19"/>
      <c r="E805" s="19"/>
      <c r="F805" s="19"/>
      <c r="H805" s="19"/>
      <c r="I805" s="5"/>
      <c r="J805" s="19"/>
      <c r="K805" s="19"/>
      <c r="L805" s="19"/>
      <c r="O805" s="20"/>
      <c r="P805" s="20"/>
      <c r="Q805" s="19"/>
      <c r="S805" s="19"/>
      <c r="T805" s="19"/>
      <c r="U805" s="19"/>
      <c r="V805" s="19"/>
      <c r="W805" s="19"/>
      <c r="X805" s="19"/>
    </row>
    <row r="806" ht="15.75" customHeight="1">
      <c r="D806" s="19"/>
      <c r="E806" s="19"/>
      <c r="F806" s="19"/>
      <c r="H806" s="19"/>
      <c r="I806" s="5"/>
      <c r="J806" s="19"/>
      <c r="K806" s="19"/>
      <c r="L806" s="19"/>
      <c r="O806" s="20"/>
      <c r="P806" s="20"/>
      <c r="Q806" s="19"/>
      <c r="S806" s="19"/>
      <c r="T806" s="19"/>
      <c r="U806" s="19"/>
      <c r="V806" s="19"/>
      <c r="W806" s="19"/>
      <c r="X806" s="19"/>
    </row>
    <row r="807" ht="15.75" customHeight="1">
      <c r="D807" s="19"/>
      <c r="E807" s="19"/>
      <c r="F807" s="19"/>
      <c r="H807" s="19"/>
      <c r="I807" s="5"/>
      <c r="J807" s="19"/>
      <c r="K807" s="19"/>
      <c r="L807" s="19"/>
      <c r="O807" s="20"/>
      <c r="P807" s="20"/>
      <c r="Q807" s="19"/>
      <c r="S807" s="19"/>
      <c r="T807" s="19"/>
      <c r="U807" s="19"/>
      <c r="V807" s="19"/>
      <c r="W807" s="19"/>
      <c r="X807" s="19"/>
    </row>
    <row r="808" ht="15.75" customHeight="1">
      <c r="D808" s="19"/>
      <c r="E808" s="19"/>
      <c r="F808" s="19"/>
      <c r="H808" s="19"/>
      <c r="I808" s="5"/>
      <c r="J808" s="19"/>
      <c r="K808" s="19"/>
      <c r="L808" s="19"/>
      <c r="O808" s="20"/>
      <c r="P808" s="20"/>
      <c r="Q808" s="19"/>
      <c r="S808" s="19"/>
      <c r="T808" s="19"/>
      <c r="U808" s="19"/>
      <c r="V808" s="19"/>
      <c r="W808" s="19"/>
      <c r="X808" s="19"/>
    </row>
    <row r="809" ht="15.75" customHeight="1">
      <c r="D809" s="19"/>
      <c r="E809" s="19"/>
      <c r="F809" s="19"/>
      <c r="H809" s="19"/>
      <c r="I809" s="5"/>
      <c r="J809" s="19"/>
      <c r="K809" s="19"/>
      <c r="L809" s="19"/>
      <c r="O809" s="20"/>
      <c r="P809" s="20"/>
      <c r="Q809" s="19"/>
      <c r="S809" s="19"/>
      <c r="T809" s="19"/>
      <c r="U809" s="19"/>
      <c r="V809" s="19"/>
      <c r="W809" s="19"/>
      <c r="X809" s="19"/>
    </row>
    <row r="810" ht="15.75" customHeight="1">
      <c r="D810" s="19"/>
      <c r="E810" s="19"/>
      <c r="F810" s="19"/>
      <c r="H810" s="19"/>
      <c r="I810" s="5"/>
      <c r="J810" s="19"/>
      <c r="K810" s="19"/>
      <c r="L810" s="19"/>
      <c r="O810" s="20"/>
      <c r="P810" s="20"/>
      <c r="Q810" s="19"/>
      <c r="S810" s="19"/>
      <c r="T810" s="19"/>
      <c r="U810" s="19"/>
      <c r="V810" s="19"/>
      <c r="W810" s="19"/>
      <c r="X810" s="19"/>
    </row>
    <row r="811" ht="15.75" customHeight="1">
      <c r="D811" s="19"/>
      <c r="E811" s="19"/>
      <c r="F811" s="19"/>
      <c r="H811" s="19"/>
      <c r="I811" s="5"/>
      <c r="J811" s="19"/>
      <c r="K811" s="19"/>
      <c r="L811" s="19"/>
      <c r="O811" s="20"/>
      <c r="P811" s="20"/>
      <c r="Q811" s="19"/>
      <c r="S811" s="19"/>
      <c r="T811" s="19"/>
      <c r="U811" s="19"/>
      <c r="V811" s="19"/>
      <c r="W811" s="19"/>
      <c r="X811" s="19"/>
    </row>
    <row r="812" ht="15.75" customHeight="1">
      <c r="D812" s="19"/>
      <c r="E812" s="19"/>
      <c r="F812" s="19"/>
      <c r="H812" s="19"/>
      <c r="I812" s="5"/>
      <c r="J812" s="19"/>
      <c r="K812" s="19"/>
      <c r="L812" s="19"/>
      <c r="O812" s="20"/>
      <c r="P812" s="20"/>
      <c r="Q812" s="19"/>
      <c r="S812" s="19"/>
      <c r="T812" s="19"/>
      <c r="U812" s="19"/>
      <c r="V812" s="19"/>
      <c r="W812" s="19"/>
      <c r="X812" s="19"/>
    </row>
    <row r="813" ht="15.75" customHeight="1">
      <c r="D813" s="19"/>
      <c r="E813" s="19"/>
      <c r="F813" s="19"/>
      <c r="H813" s="19"/>
      <c r="I813" s="5"/>
      <c r="J813" s="19"/>
      <c r="K813" s="19"/>
      <c r="L813" s="19"/>
      <c r="O813" s="20"/>
      <c r="P813" s="20"/>
      <c r="Q813" s="19"/>
      <c r="S813" s="19"/>
      <c r="T813" s="19"/>
      <c r="U813" s="19"/>
      <c r="V813" s="19"/>
      <c r="W813" s="19"/>
      <c r="X813" s="19"/>
    </row>
    <row r="814" ht="15.75" customHeight="1">
      <c r="D814" s="19"/>
      <c r="E814" s="19"/>
      <c r="F814" s="19"/>
      <c r="H814" s="19"/>
      <c r="I814" s="5"/>
      <c r="J814" s="19"/>
      <c r="K814" s="19"/>
      <c r="L814" s="19"/>
      <c r="O814" s="20"/>
      <c r="P814" s="20"/>
      <c r="Q814" s="19"/>
      <c r="S814" s="19"/>
      <c r="T814" s="19"/>
      <c r="U814" s="19"/>
      <c r="V814" s="19"/>
      <c r="W814" s="19"/>
      <c r="X814" s="19"/>
    </row>
    <row r="815" ht="15.75" customHeight="1">
      <c r="D815" s="19"/>
      <c r="E815" s="19"/>
      <c r="F815" s="19"/>
      <c r="H815" s="19"/>
      <c r="I815" s="5"/>
      <c r="J815" s="19"/>
      <c r="K815" s="19"/>
      <c r="L815" s="19"/>
      <c r="O815" s="20"/>
      <c r="P815" s="20"/>
      <c r="Q815" s="19"/>
      <c r="S815" s="19"/>
      <c r="T815" s="19"/>
      <c r="U815" s="19"/>
      <c r="V815" s="19"/>
      <c r="W815" s="19"/>
      <c r="X815" s="19"/>
    </row>
    <row r="816" ht="15.75" customHeight="1">
      <c r="D816" s="19"/>
      <c r="E816" s="19"/>
      <c r="F816" s="19"/>
      <c r="H816" s="19"/>
      <c r="I816" s="5"/>
      <c r="J816" s="19"/>
      <c r="K816" s="19"/>
      <c r="L816" s="19"/>
      <c r="O816" s="20"/>
      <c r="P816" s="20"/>
      <c r="Q816" s="19"/>
      <c r="S816" s="19"/>
      <c r="T816" s="19"/>
      <c r="U816" s="19"/>
      <c r="V816" s="19"/>
      <c r="W816" s="19"/>
      <c r="X816" s="19"/>
    </row>
    <row r="817" ht="15.75" customHeight="1">
      <c r="D817" s="19"/>
      <c r="E817" s="19"/>
      <c r="F817" s="19"/>
      <c r="H817" s="19"/>
      <c r="I817" s="5"/>
      <c r="J817" s="19"/>
      <c r="K817" s="19"/>
      <c r="L817" s="19"/>
      <c r="O817" s="20"/>
      <c r="P817" s="20"/>
      <c r="Q817" s="19"/>
      <c r="S817" s="19"/>
      <c r="T817" s="19"/>
      <c r="U817" s="19"/>
      <c r="V817" s="19"/>
      <c r="W817" s="19"/>
      <c r="X817" s="19"/>
    </row>
    <row r="818" ht="15.75" customHeight="1">
      <c r="D818" s="19"/>
      <c r="E818" s="19"/>
      <c r="F818" s="19"/>
      <c r="H818" s="19"/>
      <c r="I818" s="5"/>
      <c r="J818" s="19"/>
      <c r="K818" s="19"/>
      <c r="L818" s="19"/>
      <c r="O818" s="20"/>
      <c r="P818" s="20"/>
      <c r="Q818" s="19"/>
      <c r="S818" s="19"/>
      <c r="T818" s="19"/>
      <c r="U818" s="19"/>
      <c r="V818" s="19"/>
      <c r="W818" s="19"/>
      <c r="X818" s="19"/>
    </row>
    <row r="819" ht="15.75" customHeight="1">
      <c r="D819" s="19"/>
      <c r="E819" s="19"/>
      <c r="F819" s="19"/>
      <c r="H819" s="19"/>
      <c r="I819" s="5"/>
      <c r="J819" s="19"/>
      <c r="K819" s="19"/>
      <c r="L819" s="19"/>
      <c r="O819" s="20"/>
      <c r="P819" s="20"/>
      <c r="Q819" s="19"/>
      <c r="S819" s="19"/>
      <c r="T819" s="19"/>
      <c r="U819" s="19"/>
      <c r="V819" s="19"/>
      <c r="W819" s="19"/>
      <c r="X819" s="19"/>
    </row>
    <row r="820" ht="15.75" customHeight="1">
      <c r="D820" s="19"/>
      <c r="E820" s="19"/>
      <c r="F820" s="19"/>
      <c r="H820" s="19"/>
      <c r="I820" s="5"/>
      <c r="J820" s="19"/>
      <c r="K820" s="19"/>
      <c r="L820" s="19"/>
      <c r="O820" s="20"/>
      <c r="P820" s="20"/>
      <c r="Q820" s="19"/>
      <c r="S820" s="19"/>
      <c r="T820" s="19"/>
      <c r="U820" s="19"/>
      <c r="V820" s="19"/>
      <c r="W820" s="19"/>
      <c r="X820" s="19"/>
    </row>
    <row r="821" ht="15.75" customHeight="1">
      <c r="D821" s="19"/>
      <c r="E821" s="19"/>
      <c r="F821" s="19"/>
      <c r="H821" s="19"/>
      <c r="I821" s="5"/>
      <c r="J821" s="19"/>
      <c r="K821" s="19"/>
      <c r="L821" s="19"/>
      <c r="O821" s="20"/>
      <c r="P821" s="20"/>
      <c r="Q821" s="19"/>
      <c r="S821" s="19"/>
      <c r="T821" s="19"/>
      <c r="U821" s="19"/>
      <c r="V821" s="19"/>
      <c r="W821" s="19"/>
      <c r="X821" s="19"/>
    </row>
    <row r="822" ht="15.75" customHeight="1">
      <c r="D822" s="19"/>
      <c r="E822" s="19"/>
      <c r="F822" s="19"/>
      <c r="H822" s="19"/>
      <c r="I822" s="5"/>
      <c r="J822" s="19"/>
      <c r="K822" s="19"/>
      <c r="L822" s="19"/>
      <c r="O822" s="20"/>
      <c r="P822" s="20"/>
      <c r="Q822" s="19"/>
      <c r="S822" s="19"/>
      <c r="T822" s="19"/>
      <c r="U822" s="19"/>
      <c r="V822" s="19"/>
      <c r="W822" s="19"/>
      <c r="X822" s="19"/>
    </row>
    <row r="823" ht="15.75" customHeight="1">
      <c r="D823" s="19"/>
      <c r="E823" s="19"/>
      <c r="F823" s="19"/>
      <c r="H823" s="19"/>
      <c r="I823" s="5"/>
      <c r="J823" s="19"/>
      <c r="K823" s="19"/>
      <c r="L823" s="19"/>
      <c r="O823" s="20"/>
      <c r="P823" s="20"/>
      <c r="Q823" s="19"/>
      <c r="S823" s="19"/>
      <c r="T823" s="19"/>
      <c r="U823" s="19"/>
      <c r="V823" s="19"/>
      <c r="W823" s="19"/>
      <c r="X823" s="19"/>
    </row>
    <row r="824" ht="15.75" customHeight="1">
      <c r="D824" s="19"/>
      <c r="E824" s="19"/>
      <c r="F824" s="19"/>
      <c r="H824" s="19"/>
      <c r="I824" s="5"/>
      <c r="J824" s="19"/>
      <c r="K824" s="19"/>
      <c r="L824" s="19"/>
      <c r="O824" s="20"/>
      <c r="P824" s="20"/>
      <c r="Q824" s="19"/>
      <c r="S824" s="19"/>
      <c r="T824" s="19"/>
      <c r="U824" s="19"/>
      <c r="V824" s="19"/>
      <c r="W824" s="19"/>
      <c r="X824" s="19"/>
    </row>
    <row r="825" ht="15.75" customHeight="1">
      <c r="D825" s="19"/>
      <c r="E825" s="19"/>
      <c r="F825" s="19"/>
      <c r="H825" s="19"/>
      <c r="I825" s="5"/>
      <c r="J825" s="19"/>
      <c r="K825" s="19"/>
      <c r="L825" s="19"/>
      <c r="O825" s="20"/>
      <c r="P825" s="20"/>
      <c r="Q825" s="19"/>
      <c r="S825" s="19"/>
      <c r="T825" s="19"/>
      <c r="U825" s="19"/>
      <c r="V825" s="19"/>
      <c r="W825" s="19"/>
      <c r="X825" s="19"/>
    </row>
    <row r="826" ht="15.75" customHeight="1">
      <c r="D826" s="19"/>
      <c r="E826" s="19"/>
      <c r="F826" s="19"/>
      <c r="H826" s="19"/>
      <c r="I826" s="5"/>
      <c r="J826" s="19"/>
      <c r="K826" s="19"/>
      <c r="L826" s="19"/>
      <c r="O826" s="20"/>
      <c r="P826" s="20"/>
      <c r="Q826" s="19"/>
      <c r="S826" s="19"/>
      <c r="T826" s="19"/>
      <c r="U826" s="19"/>
      <c r="V826" s="19"/>
      <c r="W826" s="19"/>
      <c r="X826" s="19"/>
    </row>
    <row r="827" ht="15.75" customHeight="1">
      <c r="D827" s="19"/>
      <c r="E827" s="19"/>
      <c r="F827" s="19"/>
      <c r="H827" s="19"/>
      <c r="I827" s="5"/>
      <c r="J827" s="19"/>
      <c r="K827" s="19"/>
      <c r="L827" s="19"/>
      <c r="O827" s="20"/>
      <c r="P827" s="20"/>
      <c r="Q827" s="19"/>
      <c r="S827" s="19"/>
      <c r="T827" s="19"/>
      <c r="U827" s="19"/>
      <c r="V827" s="19"/>
      <c r="W827" s="19"/>
      <c r="X827" s="19"/>
    </row>
    <row r="828" ht="15.75" customHeight="1">
      <c r="D828" s="19"/>
      <c r="E828" s="19"/>
      <c r="F828" s="19"/>
      <c r="H828" s="19"/>
      <c r="I828" s="5"/>
      <c r="J828" s="19"/>
      <c r="K828" s="19"/>
      <c r="L828" s="19"/>
      <c r="O828" s="20"/>
      <c r="P828" s="20"/>
      <c r="Q828" s="19"/>
      <c r="S828" s="19"/>
      <c r="T828" s="19"/>
      <c r="U828" s="19"/>
      <c r="V828" s="19"/>
      <c r="W828" s="19"/>
      <c r="X828" s="19"/>
    </row>
    <row r="829" ht="15.75" customHeight="1">
      <c r="D829" s="19"/>
      <c r="E829" s="19"/>
      <c r="F829" s="19"/>
      <c r="H829" s="19"/>
      <c r="I829" s="5"/>
      <c r="J829" s="19"/>
      <c r="K829" s="19"/>
      <c r="L829" s="19"/>
      <c r="O829" s="20"/>
      <c r="P829" s="20"/>
      <c r="Q829" s="19"/>
      <c r="S829" s="19"/>
      <c r="T829" s="19"/>
      <c r="U829" s="19"/>
      <c r="V829" s="19"/>
      <c r="W829" s="19"/>
      <c r="X829" s="19"/>
    </row>
    <row r="830" ht="15.75" customHeight="1">
      <c r="D830" s="19"/>
      <c r="E830" s="19"/>
      <c r="F830" s="19"/>
      <c r="H830" s="19"/>
      <c r="I830" s="5"/>
      <c r="J830" s="19"/>
      <c r="K830" s="19"/>
      <c r="L830" s="19"/>
      <c r="O830" s="20"/>
      <c r="P830" s="20"/>
      <c r="Q830" s="19"/>
      <c r="S830" s="19"/>
      <c r="T830" s="19"/>
      <c r="U830" s="19"/>
      <c r="V830" s="19"/>
      <c r="W830" s="19"/>
      <c r="X830" s="19"/>
    </row>
    <row r="831" ht="15.75" customHeight="1">
      <c r="D831" s="19"/>
      <c r="E831" s="19"/>
      <c r="F831" s="19"/>
      <c r="H831" s="19"/>
      <c r="I831" s="5"/>
      <c r="J831" s="19"/>
      <c r="K831" s="19"/>
      <c r="L831" s="19"/>
      <c r="O831" s="20"/>
      <c r="P831" s="20"/>
      <c r="Q831" s="19"/>
      <c r="S831" s="19"/>
      <c r="T831" s="19"/>
      <c r="U831" s="19"/>
      <c r="V831" s="19"/>
      <c r="W831" s="19"/>
      <c r="X831" s="19"/>
    </row>
    <row r="832" ht="15.75" customHeight="1">
      <c r="D832" s="19"/>
      <c r="E832" s="19"/>
      <c r="F832" s="19"/>
      <c r="H832" s="19"/>
      <c r="I832" s="5"/>
      <c r="J832" s="19"/>
      <c r="K832" s="19"/>
      <c r="L832" s="19"/>
      <c r="O832" s="20"/>
      <c r="P832" s="20"/>
      <c r="Q832" s="19"/>
      <c r="S832" s="19"/>
      <c r="T832" s="19"/>
      <c r="U832" s="19"/>
      <c r="V832" s="19"/>
      <c r="W832" s="19"/>
      <c r="X832" s="19"/>
    </row>
    <row r="833" ht="15.75" customHeight="1">
      <c r="D833" s="19"/>
      <c r="E833" s="19"/>
      <c r="F833" s="19"/>
      <c r="H833" s="19"/>
      <c r="I833" s="5"/>
      <c r="J833" s="19"/>
      <c r="K833" s="19"/>
      <c r="L833" s="19"/>
      <c r="O833" s="20"/>
      <c r="P833" s="20"/>
      <c r="Q833" s="19"/>
      <c r="S833" s="19"/>
      <c r="T833" s="19"/>
      <c r="U833" s="19"/>
      <c r="V833" s="19"/>
      <c r="W833" s="19"/>
      <c r="X833" s="19"/>
    </row>
    <row r="834" ht="15.75" customHeight="1">
      <c r="D834" s="19"/>
      <c r="E834" s="19"/>
      <c r="F834" s="19"/>
      <c r="H834" s="19"/>
      <c r="I834" s="5"/>
      <c r="J834" s="19"/>
      <c r="K834" s="19"/>
      <c r="L834" s="19"/>
      <c r="O834" s="20"/>
      <c r="P834" s="20"/>
      <c r="Q834" s="19"/>
      <c r="S834" s="19"/>
      <c r="T834" s="19"/>
      <c r="U834" s="19"/>
      <c r="V834" s="19"/>
      <c r="W834" s="19"/>
      <c r="X834" s="19"/>
    </row>
    <row r="835" ht="15.75" customHeight="1">
      <c r="D835" s="19"/>
      <c r="E835" s="19"/>
      <c r="F835" s="19"/>
      <c r="H835" s="19"/>
      <c r="I835" s="5"/>
      <c r="J835" s="19"/>
      <c r="K835" s="19"/>
      <c r="L835" s="19"/>
      <c r="O835" s="20"/>
      <c r="P835" s="20"/>
      <c r="Q835" s="19"/>
      <c r="S835" s="19"/>
      <c r="T835" s="19"/>
      <c r="U835" s="19"/>
      <c r="V835" s="19"/>
      <c r="W835" s="19"/>
      <c r="X835" s="19"/>
    </row>
    <row r="836" ht="15.75" customHeight="1">
      <c r="D836" s="19"/>
      <c r="E836" s="19"/>
      <c r="F836" s="19"/>
      <c r="H836" s="19"/>
      <c r="I836" s="5"/>
      <c r="J836" s="19"/>
      <c r="K836" s="19"/>
      <c r="L836" s="19"/>
      <c r="O836" s="20"/>
      <c r="P836" s="20"/>
      <c r="Q836" s="19"/>
      <c r="S836" s="19"/>
      <c r="T836" s="19"/>
      <c r="U836" s="19"/>
      <c r="V836" s="19"/>
      <c r="W836" s="19"/>
      <c r="X836" s="19"/>
    </row>
    <row r="837" ht="15.75" customHeight="1">
      <c r="D837" s="19"/>
      <c r="E837" s="19"/>
      <c r="F837" s="19"/>
      <c r="H837" s="19"/>
      <c r="I837" s="5"/>
      <c r="J837" s="19"/>
      <c r="K837" s="19"/>
      <c r="L837" s="19"/>
      <c r="O837" s="20"/>
      <c r="P837" s="20"/>
      <c r="Q837" s="19"/>
      <c r="S837" s="19"/>
      <c r="T837" s="19"/>
      <c r="U837" s="19"/>
      <c r="V837" s="19"/>
      <c r="W837" s="19"/>
      <c r="X837" s="19"/>
    </row>
    <row r="838" ht="15.75" customHeight="1">
      <c r="D838" s="19"/>
      <c r="E838" s="19"/>
      <c r="F838" s="19"/>
      <c r="H838" s="19"/>
      <c r="I838" s="5"/>
      <c r="J838" s="19"/>
      <c r="K838" s="19"/>
      <c r="L838" s="19"/>
      <c r="O838" s="20"/>
      <c r="P838" s="20"/>
      <c r="Q838" s="19"/>
      <c r="S838" s="19"/>
      <c r="T838" s="19"/>
      <c r="U838" s="19"/>
      <c r="V838" s="19"/>
      <c r="W838" s="19"/>
      <c r="X838" s="19"/>
    </row>
    <row r="839" ht="15.75" customHeight="1">
      <c r="D839" s="19"/>
      <c r="E839" s="19"/>
      <c r="F839" s="19"/>
      <c r="H839" s="19"/>
      <c r="I839" s="5"/>
      <c r="J839" s="19"/>
      <c r="K839" s="19"/>
      <c r="L839" s="19"/>
      <c r="O839" s="20"/>
      <c r="P839" s="20"/>
      <c r="Q839" s="19"/>
      <c r="S839" s="19"/>
      <c r="T839" s="19"/>
      <c r="U839" s="19"/>
      <c r="V839" s="19"/>
      <c r="W839" s="19"/>
      <c r="X839" s="19"/>
    </row>
    <row r="840" ht="15.75" customHeight="1">
      <c r="D840" s="19"/>
      <c r="E840" s="19"/>
      <c r="F840" s="19"/>
      <c r="H840" s="19"/>
      <c r="I840" s="5"/>
      <c r="J840" s="19"/>
      <c r="K840" s="19"/>
      <c r="L840" s="19"/>
      <c r="O840" s="20"/>
      <c r="P840" s="20"/>
      <c r="Q840" s="19"/>
      <c r="S840" s="19"/>
      <c r="T840" s="19"/>
      <c r="U840" s="19"/>
      <c r="V840" s="19"/>
      <c r="W840" s="19"/>
      <c r="X840" s="19"/>
    </row>
    <row r="841" ht="15.75" customHeight="1">
      <c r="D841" s="19"/>
      <c r="E841" s="19"/>
      <c r="F841" s="19"/>
      <c r="H841" s="19"/>
      <c r="I841" s="5"/>
      <c r="J841" s="19"/>
      <c r="K841" s="19"/>
      <c r="L841" s="19"/>
      <c r="O841" s="20"/>
      <c r="P841" s="20"/>
      <c r="Q841" s="19"/>
      <c r="S841" s="19"/>
      <c r="T841" s="19"/>
      <c r="U841" s="19"/>
      <c r="V841" s="19"/>
      <c r="W841" s="19"/>
      <c r="X841" s="19"/>
    </row>
    <row r="842" ht="15.75" customHeight="1">
      <c r="D842" s="19"/>
      <c r="E842" s="19"/>
      <c r="F842" s="19"/>
      <c r="H842" s="19"/>
      <c r="I842" s="5"/>
      <c r="J842" s="19"/>
      <c r="K842" s="19"/>
      <c r="L842" s="19"/>
      <c r="O842" s="20"/>
      <c r="P842" s="20"/>
      <c r="Q842" s="19"/>
      <c r="S842" s="19"/>
      <c r="T842" s="19"/>
      <c r="U842" s="19"/>
      <c r="V842" s="19"/>
      <c r="W842" s="19"/>
      <c r="X842" s="19"/>
    </row>
    <row r="843" ht="15.75" customHeight="1">
      <c r="D843" s="19"/>
      <c r="E843" s="19"/>
      <c r="F843" s="19"/>
      <c r="H843" s="19"/>
      <c r="I843" s="5"/>
      <c r="J843" s="19"/>
      <c r="K843" s="19"/>
      <c r="L843" s="19"/>
      <c r="O843" s="20"/>
      <c r="P843" s="20"/>
      <c r="Q843" s="19"/>
      <c r="S843" s="19"/>
      <c r="T843" s="19"/>
      <c r="U843" s="19"/>
      <c r="V843" s="19"/>
      <c r="W843" s="19"/>
      <c r="X843" s="19"/>
    </row>
    <row r="844" ht="15.75" customHeight="1">
      <c r="D844" s="19"/>
      <c r="E844" s="19"/>
      <c r="F844" s="19"/>
      <c r="H844" s="19"/>
      <c r="I844" s="5"/>
      <c r="J844" s="19"/>
      <c r="K844" s="19"/>
      <c r="L844" s="19"/>
      <c r="O844" s="20"/>
      <c r="P844" s="20"/>
      <c r="Q844" s="19"/>
      <c r="S844" s="19"/>
      <c r="T844" s="19"/>
      <c r="U844" s="19"/>
      <c r="V844" s="19"/>
      <c r="W844" s="19"/>
      <c r="X844" s="19"/>
    </row>
    <row r="845" ht="15.75" customHeight="1">
      <c r="D845" s="19"/>
      <c r="E845" s="19"/>
      <c r="F845" s="19"/>
      <c r="H845" s="19"/>
      <c r="I845" s="5"/>
      <c r="J845" s="19"/>
      <c r="K845" s="19"/>
      <c r="L845" s="19"/>
      <c r="O845" s="20"/>
      <c r="P845" s="20"/>
      <c r="Q845" s="19"/>
      <c r="S845" s="19"/>
      <c r="T845" s="19"/>
      <c r="U845" s="19"/>
      <c r="V845" s="19"/>
      <c r="W845" s="19"/>
      <c r="X845" s="19"/>
    </row>
    <row r="846" ht="15.75" customHeight="1">
      <c r="D846" s="19"/>
      <c r="E846" s="19"/>
      <c r="F846" s="19"/>
      <c r="H846" s="19"/>
      <c r="I846" s="5"/>
      <c r="J846" s="19"/>
      <c r="K846" s="19"/>
      <c r="L846" s="19"/>
      <c r="O846" s="20"/>
      <c r="P846" s="20"/>
      <c r="Q846" s="19"/>
      <c r="S846" s="19"/>
      <c r="T846" s="19"/>
      <c r="U846" s="19"/>
      <c r="V846" s="19"/>
      <c r="W846" s="19"/>
      <c r="X846" s="19"/>
    </row>
    <row r="847" ht="15.75" customHeight="1">
      <c r="D847" s="19"/>
      <c r="E847" s="19"/>
      <c r="F847" s="19"/>
      <c r="H847" s="19"/>
      <c r="I847" s="5"/>
      <c r="J847" s="19"/>
      <c r="K847" s="19"/>
      <c r="L847" s="19"/>
      <c r="O847" s="20"/>
      <c r="P847" s="20"/>
      <c r="Q847" s="19"/>
      <c r="S847" s="19"/>
      <c r="T847" s="19"/>
      <c r="U847" s="19"/>
      <c r="V847" s="19"/>
      <c r="W847" s="19"/>
      <c r="X847" s="19"/>
    </row>
    <row r="848" ht="15.75" customHeight="1">
      <c r="D848" s="19"/>
      <c r="E848" s="19"/>
      <c r="F848" s="19"/>
      <c r="H848" s="19"/>
      <c r="I848" s="5"/>
      <c r="J848" s="19"/>
      <c r="K848" s="19"/>
      <c r="L848" s="19"/>
      <c r="O848" s="20"/>
      <c r="P848" s="20"/>
      <c r="Q848" s="19"/>
      <c r="S848" s="19"/>
      <c r="T848" s="19"/>
      <c r="U848" s="19"/>
      <c r="V848" s="19"/>
      <c r="W848" s="19"/>
      <c r="X848" s="19"/>
    </row>
    <row r="849" ht="15.75" customHeight="1">
      <c r="D849" s="19"/>
      <c r="E849" s="19"/>
      <c r="F849" s="19"/>
      <c r="H849" s="19"/>
      <c r="I849" s="5"/>
      <c r="J849" s="19"/>
      <c r="K849" s="19"/>
      <c r="L849" s="19"/>
      <c r="O849" s="20"/>
      <c r="P849" s="20"/>
      <c r="Q849" s="19"/>
      <c r="S849" s="19"/>
      <c r="T849" s="19"/>
      <c r="U849" s="19"/>
      <c r="V849" s="19"/>
      <c r="W849" s="19"/>
      <c r="X849" s="19"/>
    </row>
    <row r="850" ht="15.75" customHeight="1">
      <c r="D850" s="19"/>
      <c r="E850" s="19"/>
      <c r="F850" s="19"/>
      <c r="H850" s="19"/>
      <c r="I850" s="5"/>
      <c r="J850" s="19"/>
      <c r="K850" s="19"/>
      <c r="L850" s="19"/>
      <c r="O850" s="20"/>
      <c r="P850" s="20"/>
      <c r="Q850" s="19"/>
      <c r="S850" s="19"/>
      <c r="T850" s="19"/>
      <c r="U850" s="19"/>
      <c r="V850" s="19"/>
      <c r="W850" s="19"/>
      <c r="X850" s="19"/>
    </row>
    <row r="851" ht="15.75" customHeight="1">
      <c r="D851" s="19"/>
      <c r="E851" s="19"/>
      <c r="F851" s="19"/>
      <c r="H851" s="19"/>
      <c r="I851" s="5"/>
      <c r="J851" s="19"/>
      <c r="K851" s="19"/>
      <c r="L851" s="19"/>
      <c r="O851" s="20"/>
      <c r="P851" s="20"/>
      <c r="Q851" s="19"/>
      <c r="S851" s="19"/>
      <c r="T851" s="19"/>
      <c r="U851" s="19"/>
      <c r="V851" s="19"/>
      <c r="W851" s="19"/>
      <c r="X851" s="19"/>
    </row>
    <row r="852" ht="15.75" customHeight="1">
      <c r="D852" s="19"/>
      <c r="E852" s="19"/>
      <c r="F852" s="19"/>
      <c r="H852" s="19"/>
      <c r="I852" s="5"/>
      <c r="J852" s="19"/>
      <c r="K852" s="19"/>
      <c r="L852" s="19"/>
      <c r="O852" s="20"/>
      <c r="P852" s="20"/>
      <c r="Q852" s="19"/>
      <c r="S852" s="19"/>
      <c r="T852" s="19"/>
      <c r="U852" s="19"/>
      <c r="V852" s="19"/>
      <c r="W852" s="19"/>
      <c r="X852" s="19"/>
    </row>
    <row r="853" ht="15.75" customHeight="1">
      <c r="D853" s="19"/>
      <c r="E853" s="19"/>
      <c r="F853" s="19"/>
      <c r="H853" s="19"/>
      <c r="I853" s="5"/>
      <c r="J853" s="19"/>
      <c r="K853" s="19"/>
      <c r="L853" s="19"/>
      <c r="O853" s="20"/>
      <c r="P853" s="20"/>
      <c r="Q853" s="19"/>
      <c r="S853" s="19"/>
      <c r="T853" s="19"/>
      <c r="U853" s="19"/>
      <c r="V853" s="19"/>
      <c r="W853" s="19"/>
      <c r="X853" s="19"/>
    </row>
    <row r="854" ht="15.75" customHeight="1">
      <c r="D854" s="19"/>
      <c r="E854" s="19"/>
      <c r="F854" s="19"/>
      <c r="H854" s="19"/>
      <c r="I854" s="5"/>
      <c r="J854" s="19"/>
      <c r="K854" s="19"/>
      <c r="L854" s="19"/>
      <c r="O854" s="20"/>
      <c r="P854" s="20"/>
      <c r="Q854" s="19"/>
      <c r="S854" s="19"/>
      <c r="T854" s="19"/>
      <c r="U854" s="19"/>
      <c r="V854" s="19"/>
      <c r="W854" s="19"/>
      <c r="X854" s="19"/>
    </row>
    <row r="855" ht="15.75" customHeight="1">
      <c r="D855" s="19"/>
      <c r="E855" s="19"/>
      <c r="F855" s="19"/>
      <c r="H855" s="19"/>
      <c r="I855" s="5"/>
      <c r="J855" s="19"/>
      <c r="K855" s="19"/>
      <c r="L855" s="19"/>
      <c r="O855" s="20"/>
      <c r="P855" s="20"/>
      <c r="Q855" s="19"/>
      <c r="S855" s="19"/>
      <c r="T855" s="19"/>
      <c r="U855" s="19"/>
      <c r="V855" s="19"/>
      <c r="W855" s="19"/>
      <c r="X855" s="19"/>
    </row>
    <row r="856" ht="15.75" customHeight="1">
      <c r="D856" s="19"/>
      <c r="E856" s="19"/>
      <c r="F856" s="19"/>
      <c r="H856" s="19"/>
      <c r="I856" s="5"/>
      <c r="J856" s="19"/>
      <c r="K856" s="19"/>
      <c r="L856" s="19"/>
      <c r="O856" s="20"/>
      <c r="P856" s="20"/>
      <c r="Q856" s="19"/>
      <c r="S856" s="19"/>
      <c r="T856" s="19"/>
      <c r="U856" s="19"/>
      <c r="V856" s="19"/>
      <c r="W856" s="19"/>
      <c r="X856" s="19"/>
    </row>
    <row r="857" ht="15.75" customHeight="1">
      <c r="D857" s="19"/>
      <c r="E857" s="19"/>
      <c r="F857" s="19"/>
      <c r="H857" s="19"/>
      <c r="I857" s="5"/>
      <c r="J857" s="19"/>
      <c r="K857" s="19"/>
      <c r="L857" s="19"/>
      <c r="O857" s="20"/>
      <c r="P857" s="20"/>
      <c r="Q857" s="19"/>
      <c r="S857" s="19"/>
      <c r="T857" s="19"/>
      <c r="U857" s="19"/>
      <c r="V857" s="19"/>
      <c r="W857" s="19"/>
      <c r="X857" s="19"/>
    </row>
    <row r="858" ht="15.75" customHeight="1">
      <c r="D858" s="19"/>
      <c r="E858" s="19"/>
      <c r="F858" s="19"/>
      <c r="H858" s="19"/>
      <c r="I858" s="5"/>
      <c r="J858" s="19"/>
      <c r="K858" s="19"/>
      <c r="L858" s="19"/>
      <c r="O858" s="20"/>
      <c r="P858" s="20"/>
      <c r="Q858" s="19"/>
      <c r="S858" s="19"/>
      <c r="T858" s="19"/>
      <c r="U858" s="19"/>
      <c r="V858" s="19"/>
      <c r="W858" s="19"/>
      <c r="X858" s="19"/>
    </row>
    <row r="859" ht="15.75" customHeight="1">
      <c r="D859" s="19"/>
      <c r="E859" s="19"/>
      <c r="F859" s="19"/>
      <c r="H859" s="19"/>
      <c r="I859" s="5"/>
      <c r="J859" s="19"/>
      <c r="K859" s="19"/>
      <c r="L859" s="19"/>
      <c r="O859" s="20"/>
      <c r="P859" s="20"/>
      <c r="Q859" s="19"/>
      <c r="S859" s="19"/>
      <c r="T859" s="19"/>
      <c r="U859" s="19"/>
      <c r="V859" s="19"/>
      <c r="W859" s="19"/>
      <c r="X859" s="19"/>
    </row>
    <row r="860" ht="15.75" customHeight="1">
      <c r="D860" s="19"/>
      <c r="E860" s="19"/>
      <c r="F860" s="19"/>
      <c r="H860" s="19"/>
      <c r="I860" s="5"/>
      <c r="J860" s="19"/>
      <c r="K860" s="19"/>
      <c r="L860" s="19"/>
      <c r="O860" s="20"/>
      <c r="P860" s="20"/>
      <c r="Q860" s="19"/>
      <c r="S860" s="19"/>
      <c r="T860" s="19"/>
      <c r="U860" s="19"/>
      <c r="V860" s="19"/>
      <c r="W860" s="19"/>
      <c r="X860" s="19"/>
    </row>
    <row r="861" ht="15.75" customHeight="1">
      <c r="D861" s="19"/>
      <c r="E861" s="19"/>
      <c r="F861" s="19"/>
      <c r="H861" s="19"/>
      <c r="I861" s="5"/>
      <c r="J861" s="19"/>
      <c r="K861" s="19"/>
      <c r="L861" s="19"/>
      <c r="O861" s="20"/>
      <c r="P861" s="20"/>
      <c r="Q861" s="19"/>
      <c r="S861" s="19"/>
      <c r="T861" s="19"/>
      <c r="U861" s="19"/>
      <c r="V861" s="19"/>
      <c r="W861" s="19"/>
      <c r="X861" s="19"/>
    </row>
    <row r="862" ht="15.75" customHeight="1">
      <c r="D862" s="19"/>
      <c r="E862" s="19"/>
      <c r="F862" s="19"/>
      <c r="H862" s="19"/>
      <c r="I862" s="5"/>
      <c r="J862" s="19"/>
      <c r="K862" s="19"/>
      <c r="L862" s="19"/>
      <c r="O862" s="20"/>
      <c r="P862" s="20"/>
      <c r="Q862" s="19"/>
      <c r="S862" s="19"/>
      <c r="T862" s="19"/>
      <c r="U862" s="19"/>
      <c r="V862" s="19"/>
      <c r="W862" s="19"/>
      <c r="X862" s="19"/>
    </row>
    <row r="863" ht="15.75" customHeight="1">
      <c r="D863" s="19"/>
      <c r="E863" s="19"/>
      <c r="F863" s="19"/>
      <c r="H863" s="19"/>
      <c r="I863" s="5"/>
      <c r="J863" s="19"/>
      <c r="K863" s="19"/>
      <c r="L863" s="19"/>
      <c r="O863" s="20"/>
      <c r="P863" s="20"/>
      <c r="Q863" s="19"/>
      <c r="S863" s="19"/>
      <c r="T863" s="19"/>
      <c r="U863" s="19"/>
      <c r="V863" s="19"/>
      <c r="W863" s="19"/>
      <c r="X863" s="19"/>
    </row>
    <row r="864" ht="15.75" customHeight="1">
      <c r="D864" s="19"/>
      <c r="E864" s="19"/>
      <c r="F864" s="19"/>
      <c r="H864" s="19"/>
      <c r="I864" s="5"/>
      <c r="J864" s="19"/>
      <c r="K864" s="19"/>
      <c r="L864" s="19"/>
      <c r="O864" s="20"/>
      <c r="P864" s="20"/>
      <c r="Q864" s="19"/>
      <c r="S864" s="19"/>
      <c r="T864" s="19"/>
      <c r="U864" s="19"/>
      <c r="V864" s="19"/>
      <c r="W864" s="19"/>
      <c r="X864" s="19"/>
    </row>
    <row r="865" ht="15.75" customHeight="1">
      <c r="D865" s="19"/>
      <c r="E865" s="19"/>
      <c r="F865" s="19"/>
      <c r="H865" s="19"/>
      <c r="I865" s="5"/>
      <c r="J865" s="19"/>
      <c r="K865" s="19"/>
      <c r="L865" s="19"/>
      <c r="O865" s="20"/>
      <c r="P865" s="20"/>
      <c r="Q865" s="19"/>
      <c r="S865" s="19"/>
      <c r="T865" s="19"/>
      <c r="U865" s="19"/>
      <c r="V865" s="19"/>
      <c r="W865" s="19"/>
      <c r="X865" s="19"/>
    </row>
    <row r="866" ht="15.75" customHeight="1">
      <c r="D866" s="19"/>
      <c r="E866" s="19"/>
      <c r="F866" s="19"/>
      <c r="H866" s="19"/>
      <c r="I866" s="5"/>
      <c r="J866" s="19"/>
      <c r="K866" s="19"/>
      <c r="L866" s="19"/>
      <c r="O866" s="20"/>
      <c r="P866" s="20"/>
      <c r="Q866" s="19"/>
      <c r="S866" s="19"/>
      <c r="T866" s="19"/>
      <c r="U866" s="19"/>
      <c r="V866" s="19"/>
      <c r="W866" s="19"/>
      <c r="X866" s="19"/>
    </row>
    <row r="867" ht="15.75" customHeight="1">
      <c r="D867" s="19"/>
      <c r="E867" s="19"/>
      <c r="F867" s="19"/>
      <c r="H867" s="19"/>
      <c r="I867" s="5"/>
      <c r="J867" s="19"/>
      <c r="K867" s="19"/>
      <c r="L867" s="19"/>
      <c r="O867" s="20"/>
      <c r="P867" s="20"/>
      <c r="Q867" s="19"/>
      <c r="S867" s="19"/>
      <c r="T867" s="19"/>
      <c r="U867" s="19"/>
      <c r="V867" s="19"/>
      <c r="W867" s="19"/>
      <c r="X867" s="19"/>
    </row>
    <row r="868" ht="15.75" customHeight="1">
      <c r="D868" s="19"/>
      <c r="E868" s="19"/>
      <c r="F868" s="19"/>
      <c r="H868" s="19"/>
      <c r="I868" s="5"/>
      <c r="J868" s="19"/>
      <c r="K868" s="19"/>
      <c r="L868" s="19"/>
      <c r="O868" s="20"/>
      <c r="P868" s="20"/>
      <c r="Q868" s="19"/>
      <c r="S868" s="19"/>
      <c r="T868" s="19"/>
      <c r="U868" s="19"/>
      <c r="V868" s="19"/>
      <c r="W868" s="19"/>
      <c r="X868" s="19"/>
    </row>
    <row r="869" ht="15.75" customHeight="1">
      <c r="D869" s="19"/>
      <c r="E869" s="19"/>
      <c r="F869" s="19"/>
      <c r="H869" s="19"/>
      <c r="I869" s="5"/>
      <c r="J869" s="19"/>
      <c r="K869" s="19"/>
      <c r="L869" s="19"/>
      <c r="O869" s="20"/>
      <c r="P869" s="20"/>
      <c r="Q869" s="19"/>
      <c r="S869" s="19"/>
      <c r="T869" s="19"/>
      <c r="U869" s="19"/>
      <c r="V869" s="19"/>
      <c r="W869" s="19"/>
      <c r="X869" s="19"/>
    </row>
    <row r="870" ht="15.75" customHeight="1">
      <c r="D870" s="19"/>
      <c r="E870" s="19"/>
      <c r="F870" s="19"/>
      <c r="H870" s="19"/>
      <c r="I870" s="5"/>
      <c r="J870" s="19"/>
      <c r="K870" s="19"/>
      <c r="L870" s="19"/>
      <c r="O870" s="20"/>
      <c r="P870" s="20"/>
      <c r="Q870" s="19"/>
      <c r="S870" s="19"/>
      <c r="T870" s="19"/>
      <c r="U870" s="19"/>
      <c r="V870" s="19"/>
      <c r="W870" s="19"/>
      <c r="X870" s="19"/>
    </row>
    <row r="871" ht="15.75" customHeight="1">
      <c r="D871" s="19"/>
      <c r="E871" s="19"/>
      <c r="F871" s="19"/>
      <c r="H871" s="19"/>
      <c r="I871" s="5"/>
      <c r="J871" s="19"/>
      <c r="K871" s="19"/>
      <c r="L871" s="19"/>
      <c r="O871" s="20"/>
      <c r="P871" s="20"/>
      <c r="Q871" s="19"/>
      <c r="S871" s="19"/>
      <c r="T871" s="19"/>
      <c r="U871" s="19"/>
      <c r="V871" s="19"/>
      <c r="W871" s="19"/>
      <c r="X871" s="19"/>
    </row>
    <row r="872" ht="15.75" customHeight="1">
      <c r="D872" s="19"/>
      <c r="E872" s="19"/>
      <c r="F872" s="19"/>
      <c r="H872" s="19"/>
      <c r="I872" s="5"/>
      <c r="J872" s="19"/>
      <c r="K872" s="19"/>
      <c r="L872" s="19"/>
      <c r="O872" s="20"/>
      <c r="P872" s="20"/>
      <c r="Q872" s="19"/>
      <c r="S872" s="19"/>
      <c r="T872" s="19"/>
      <c r="U872" s="19"/>
      <c r="V872" s="19"/>
      <c r="W872" s="19"/>
      <c r="X872" s="19"/>
    </row>
    <row r="873" ht="15.75" customHeight="1">
      <c r="D873" s="19"/>
      <c r="E873" s="19"/>
      <c r="F873" s="19"/>
      <c r="H873" s="19"/>
      <c r="I873" s="5"/>
      <c r="J873" s="19"/>
      <c r="K873" s="19"/>
      <c r="L873" s="19"/>
      <c r="O873" s="20"/>
      <c r="P873" s="20"/>
      <c r="Q873" s="19"/>
      <c r="S873" s="19"/>
      <c r="T873" s="19"/>
      <c r="U873" s="19"/>
      <c r="V873" s="19"/>
      <c r="W873" s="19"/>
      <c r="X873" s="19"/>
    </row>
    <row r="874" ht="15.75" customHeight="1">
      <c r="D874" s="19"/>
      <c r="E874" s="19"/>
      <c r="F874" s="19"/>
      <c r="H874" s="19"/>
      <c r="I874" s="5"/>
      <c r="J874" s="19"/>
      <c r="K874" s="19"/>
      <c r="L874" s="19"/>
      <c r="O874" s="20"/>
      <c r="P874" s="20"/>
      <c r="Q874" s="19"/>
      <c r="S874" s="19"/>
      <c r="T874" s="19"/>
      <c r="U874" s="19"/>
      <c r="V874" s="19"/>
      <c r="W874" s="19"/>
      <c r="X874" s="19"/>
    </row>
    <row r="875" ht="15.75" customHeight="1">
      <c r="D875" s="19"/>
      <c r="E875" s="19"/>
      <c r="F875" s="19"/>
      <c r="H875" s="19"/>
      <c r="I875" s="5"/>
      <c r="J875" s="19"/>
      <c r="K875" s="19"/>
      <c r="L875" s="19"/>
      <c r="O875" s="20"/>
      <c r="P875" s="20"/>
      <c r="Q875" s="19"/>
      <c r="S875" s="19"/>
      <c r="T875" s="19"/>
      <c r="U875" s="19"/>
      <c r="V875" s="19"/>
      <c r="W875" s="19"/>
      <c r="X875" s="19"/>
    </row>
    <row r="876" ht="15.75" customHeight="1">
      <c r="D876" s="19"/>
      <c r="E876" s="19"/>
      <c r="F876" s="19"/>
      <c r="H876" s="19"/>
      <c r="I876" s="5"/>
      <c r="J876" s="19"/>
      <c r="K876" s="19"/>
      <c r="L876" s="19"/>
      <c r="O876" s="20"/>
      <c r="P876" s="20"/>
      <c r="Q876" s="19"/>
      <c r="S876" s="19"/>
      <c r="T876" s="19"/>
      <c r="U876" s="19"/>
      <c r="V876" s="19"/>
      <c r="W876" s="19"/>
      <c r="X876" s="19"/>
    </row>
    <row r="877" ht="15.75" customHeight="1">
      <c r="D877" s="19"/>
      <c r="E877" s="19"/>
      <c r="F877" s="19"/>
      <c r="H877" s="19"/>
      <c r="I877" s="5"/>
      <c r="J877" s="19"/>
      <c r="K877" s="19"/>
      <c r="L877" s="19"/>
      <c r="O877" s="20"/>
      <c r="P877" s="20"/>
      <c r="Q877" s="19"/>
      <c r="S877" s="19"/>
      <c r="T877" s="19"/>
      <c r="U877" s="19"/>
      <c r="V877" s="19"/>
      <c r="W877" s="19"/>
      <c r="X877" s="19"/>
    </row>
    <row r="878" ht="15.75" customHeight="1">
      <c r="D878" s="19"/>
      <c r="E878" s="19"/>
      <c r="F878" s="19"/>
      <c r="H878" s="19"/>
      <c r="I878" s="5"/>
      <c r="J878" s="19"/>
      <c r="K878" s="19"/>
      <c r="L878" s="19"/>
      <c r="O878" s="20"/>
      <c r="P878" s="20"/>
      <c r="Q878" s="19"/>
      <c r="S878" s="19"/>
      <c r="T878" s="19"/>
      <c r="U878" s="19"/>
      <c r="V878" s="19"/>
      <c r="W878" s="19"/>
      <c r="X878" s="19"/>
    </row>
    <row r="879" ht="15.75" customHeight="1">
      <c r="D879" s="19"/>
      <c r="E879" s="19"/>
      <c r="F879" s="19"/>
      <c r="H879" s="19"/>
      <c r="I879" s="5"/>
      <c r="J879" s="19"/>
      <c r="K879" s="19"/>
      <c r="L879" s="19"/>
      <c r="O879" s="20"/>
      <c r="P879" s="20"/>
      <c r="Q879" s="19"/>
      <c r="S879" s="19"/>
      <c r="T879" s="19"/>
      <c r="U879" s="19"/>
      <c r="V879" s="19"/>
      <c r="W879" s="19"/>
      <c r="X879" s="19"/>
    </row>
    <row r="880" ht="15.75" customHeight="1">
      <c r="D880" s="19"/>
      <c r="E880" s="19"/>
      <c r="F880" s="19"/>
      <c r="H880" s="19"/>
      <c r="I880" s="5"/>
      <c r="J880" s="19"/>
      <c r="K880" s="19"/>
      <c r="L880" s="19"/>
      <c r="O880" s="20"/>
      <c r="P880" s="20"/>
      <c r="Q880" s="19"/>
      <c r="S880" s="19"/>
      <c r="T880" s="19"/>
      <c r="U880" s="19"/>
      <c r="V880" s="19"/>
      <c r="W880" s="19"/>
      <c r="X880" s="19"/>
    </row>
    <row r="881" ht="15.75" customHeight="1">
      <c r="D881" s="19"/>
      <c r="E881" s="19"/>
      <c r="F881" s="19"/>
      <c r="H881" s="19"/>
      <c r="I881" s="5"/>
      <c r="J881" s="19"/>
      <c r="K881" s="19"/>
      <c r="L881" s="19"/>
      <c r="O881" s="20"/>
      <c r="P881" s="20"/>
      <c r="Q881" s="19"/>
      <c r="S881" s="19"/>
      <c r="T881" s="19"/>
      <c r="U881" s="19"/>
      <c r="V881" s="19"/>
      <c r="W881" s="19"/>
      <c r="X881" s="19"/>
    </row>
    <row r="882" ht="15.75" customHeight="1">
      <c r="D882" s="19"/>
      <c r="E882" s="19"/>
      <c r="F882" s="19"/>
      <c r="H882" s="19"/>
      <c r="I882" s="5"/>
      <c r="J882" s="19"/>
      <c r="K882" s="19"/>
      <c r="L882" s="19"/>
      <c r="O882" s="20"/>
      <c r="P882" s="20"/>
      <c r="Q882" s="19"/>
      <c r="S882" s="19"/>
      <c r="T882" s="19"/>
      <c r="U882" s="19"/>
      <c r="V882" s="19"/>
      <c r="W882" s="19"/>
      <c r="X882" s="19"/>
    </row>
    <row r="883" ht="15.75" customHeight="1">
      <c r="D883" s="19"/>
      <c r="E883" s="19"/>
      <c r="F883" s="19"/>
      <c r="H883" s="19"/>
      <c r="I883" s="5"/>
      <c r="J883" s="19"/>
      <c r="K883" s="19"/>
      <c r="L883" s="19"/>
      <c r="O883" s="20"/>
      <c r="P883" s="20"/>
      <c r="Q883" s="19"/>
      <c r="S883" s="19"/>
      <c r="T883" s="19"/>
      <c r="U883" s="19"/>
      <c r="V883" s="19"/>
      <c r="W883" s="19"/>
      <c r="X883" s="19"/>
    </row>
    <row r="884" ht="15.75" customHeight="1">
      <c r="D884" s="19"/>
      <c r="E884" s="19"/>
      <c r="F884" s="19"/>
      <c r="H884" s="19"/>
      <c r="I884" s="5"/>
      <c r="J884" s="19"/>
      <c r="K884" s="19"/>
      <c r="L884" s="19"/>
      <c r="O884" s="20"/>
      <c r="P884" s="20"/>
      <c r="Q884" s="19"/>
      <c r="S884" s="19"/>
      <c r="T884" s="19"/>
      <c r="U884" s="19"/>
      <c r="V884" s="19"/>
      <c r="W884" s="19"/>
      <c r="X884" s="19"/>
    </row>
    <row r="885" ht="15.75" customHeight="1">
      <c r="D885" s="19"/>
      <c r="E885" s="19"/>
      <c r="F885" s="19"/>
      <c r="H885" s="19"/>
      <c r="I885" s="5"/>
      <c r="J885" s="19"/>
      <c r="K885" s="19"/>
      <c r="L885" s="19"/>
      <c r="O885" s="20"/>
      <c r="P885" s="20"/>
      <c r="Q885" s="19"/>
      <c r="S885" s="19"/>
      <c r="T885" s="19"/>
      <c r="U885" s="19"/>
      <c r="V885" s="19"/>
      <c r="W885" s="19"/>
      <c r="X885" s="19"/>
    </row>
    <row r="886" ht="15.75" customHeight="1">
      <c r="D886" s="19"/>
      <c r="E886" s="19"/>
      <c r="F886" s="19"/>
      <c r="H886" s="19"/>
      <c r="I886" s="5"/>
      <c r="J886" s="19"/>
      <c r="K886" s="19"/>
      <c r="L886" s="19"/>
      <c r="O886" s="20"/>
      <c r="P886" s="20"/>
      <c r="Q886" s="19"/>
      <c r="S886" s="19"/>
      <c r="T886" s="19"/>
      <c r="U886" s="19"/>
      <c r="V886" s="19"/>
      <c r="W886" s="19"/>
      <c r="X886" s="19"/>
    </row>
    <row r="887" ht="15.75" customHeight="1">
      <c r="D887" s="19"/>
      <c r="E887" s="19"/>
      <c r="F887" s="19"/>
      <c r="H887" s="19"/>
      <c r="I887" s="5"/>
      <c r="J887" s="19"/>
      <c r="K887" s="19"/>
      <c r="L887" s="19"/>
      <c r="O887" s="20"/>
      <c r="P887" s="20"/>
      <c r="Q887" s="19"/>
      <c r="S887" s="19"/>
      <c r="T887" s="19"/>
      <c r="U887" s="19"/>
      <c r="V887" s="19"/>
      <c r="W887" s="19"/>
      <c r="X887" s="19"/>
    </row>
    <row r="888" ht="15.75" customHeight="1">
      <c r="D888" s="19"/>
      <c r="E888" s="19"/>
      <c r="F888" s="19"/>
      <c r="H888" s="19"/>
      <c r="I888" s="5"/>
      <c r="J888" s="19"/>
      <c r="K888" s="19"/>
      <c r="L888" s="19"/>
      <c r="O888" s="20"/>
      <c r="P888" s="20"/>
      <c r="Q888" s="19"/>
      <c r="S888" s="19"/>
      <c r="T888" s="19"/>
      <c r="U888" s="19"/>
      <c r="V888" s="19"/>
      <c r="W888" s="19"/>
      <c r="X888" s="19"/>
    </row>
    <row r="889" ht="15.75" customHeight="1">
      <c r="D889" s="19"/>
      <c r="E889" s="19"/>
      <c r="F889" s="19"/>
      <c r="H889" s="19"/>
      <c r="I889" s="5"/>
      <c r="J889" s="19"/>
      <c r="K889" s="19"/>
      <c r="L889" s="19"/>
      <c r="O889" s="20"/>
      <c r="P889" s="20"/>
      <c r="Q889" s="19"/>
      <c r="S889" s="19"/>
      <c r="T889" s="19"/>
      <c r="U889" s="19"/>
      <c r="V889" s="19"/>
      <c r="W889" s="19"/>
      <c r="X889" s="19"/>
    </row>
    <row r="890" ht="15.75" customHeight="1">
      <c r="D890" s="19"/>
      <c r="E890" s="19"/>
      <c r="F890" s="19"/>
      <c r="H890" s="19"/>
      <c r="I890" s="5"/>
      <c r="J890" s="19"/>
      <c r="K890" s="19"/>
      <c r="L890" s="19"/>
      <c r="O890" s="20"/>
      <c r="P890" s="20"/>
      <c r="Q890" s="19"/>
      <c r="S890" s="19"/>
      <c r="T890" s="19"/>
      <c r="U890" s="19"/>
      <c r="V890" s="19"/>
      <c r="W890" s="19"/>
      <c r="X890" s="19"/>
    </row>
    <row r="891" ht="15.75" customHeight="1">
      <c r="D891" s="19"/>
      <c r="E891" s="19"/>
      <c r="F891" s="19"/>
      <c r="H891" s="19"/>
      <c r="I891" s="5"/>
      <c r="J891" s="19"/>
      <c r="K891" s="19"/>
      <c r="L891" s="19"/>
      <c r="O891" s="20"/>
      <c r="P891" s="20"/>
      <c r="Q891" s="19"/>
      <c r="S891" s="19"/>
      <c r="T891" s="19"/>
      <c r="U891" s="19"/>
      <c r="V891" s="19"/>
      <c r="W891" s="19"/>
      <c r="X891" s="19"/>
    </row>
    <row r="892" ht="15.75" customHeight="1">
      <c r="D892" s="19"/>
      <c r="E892" s="19"/>
      <c r="F892" s="19"/>
      <c r="H892" s="19"/>
      <c r="I892" s="5"/>
      <c r="J892" s="19"/>
      <c r="K892" s="19"/>
      <c r="L892" s="19"/>
      <c r="O892" s="20"/>
      <c r="P892" s="20"/>
      <c r="Q892" s="19"/>
      <c r="S892" s="19"/>
      <c r="T892" s="19"/>
      <c r="U892" s="19"/>
      <c r="V892" s="19"/>
      <c r="W892" s="19"/>
      <c r="X892" s="19"/>
    </row>
    <row r="893" ht="15.75" customHeight="1">
      <c r="D893" s="19"/>
      <c r="E893" s="19"/>
      <c r="F893" s="19"/>
      <c r="H893" s="19"/>
      <c r="I893" s="5"/>
      <c r="J893" s="19"/>
      <c r="K893" s="19"/>
      <c r="L893" s="19"/>
      <c r="O893" s="20"/>
      <c r="P893" s="20"/>
      <c r="Q893" s="19"/>
      <c r="S893" s="19"/>
      <c r="T893" s="19"/>
      <c r="U893" s="19"/>
      <c r="V893" s="19"/>
      <c r="W893" s="19"/>
      <c r="X893" s="19"/>
    </row>
    <row r="894" ht="15.75" customHeight="1">
      <c r="D894" s="19"/>
      <c r="E894" s="19"/>
      <c r="F894" s="19"/>
      <c r="H894" s="19"/>
      <c r="I894" s="5"/>
      <c r="J894" s="19"/>
      <c r="K894" s="19"/>
      <c r="L894" s="19"/>
      <c r="O894" s="20"/>
      <c r="P894" s="20"/>
      <c r="Q894" s="19"/>
      <c r="S894" s="19"/>
      <c r="T894" s="19"/>
      <c r="U894" s="19"/>
      <c r="V894" s="19"/>
      <c r="W894" s="19"/>
      <c r="X894" s="19"/>
    </row>
    <row r="895" ht="15.75" customHeight="1">
      <c r="D895" s="19"/>
      <c r="E895" s="19"/>
      <c r="F895" s="19"/>
      <c r="H895" s="19"/>
      <c r="I895" s="5"/>
      <c r="J895" s="19"/>
      <c r="K895" s="19"/>
      <c r="L895" s="19"/>
      <c r="O895" s="20"/>
      <c r="P895" s="20"/>
      <c r="Q895" s="19"/>
      <c r="S895" s="19"/>
      <c r="T895" s="19"/>
      <c r="U895" s="19"/>
      <c r="V895" s="19"/>
      <c r="W895" s="19"/>
      <c r="X895" s="19"/>
    </row>
    <row r="896" ht="15.75" customHeight="1">
      <c r="D896" s="19"/>
      <c r="E896" s="19"/>
      <c r="F896" s="19"/>
      <c r="H896" s="19"/>
      <c r="I896" s="5"/>
      <c r="J896" s="19"/>
      <c r="K896" s="19"/>
      <c r="L896" s="19"/>
      <c r="O896" s="20"/>
      <c r="P896" s="20"/>
      <c r="Q896" s="19"/>
      <c r="S896" s="19"/>
      <c r="T896" s="19"/>
      <c r="U896" s="19"/>
      <c r="V896" s="19"/>
      <c r="W896" s="19"/>
      <c r="X896" s="19"/>
    </row>
    <row r="897" ht="15.75" customHeight="1">
      <c r="D897" s="19"/>
      <c r="E897" s="19"/>
      <c r="F897" s="19"/>
      <c r="H897" s="19"/>
      <c r="I897" s="5"/>
      <c r="J897" s="19"/>
      <c r="K897" s="19"/>
      <c r="L897" s="19"/>
      <c r="O897" s="20"/>
      <c r="P897" s="20"/>
      <c r="Q897" s="19"/>
      <c r="S897" s="19"/>
      <c r="T897" s="19"/>
      <c r="U897" s="19"/>
      <c r="V897" s="19"/>
      <c r="W897" s="19"/>
      <c r="X897" s="19"/>
    </row>
    <row r="898" ht="15.75" customHeight="1">
      <c r="D898" s="19"/>
      <c r="E898" s="19"/>
      <c r="F898" s="19"/>
      <c r="H898" s="19"/>
      <c r="I898" s="5"/>
      <c r="J898" s="19"/>
      <c r="K898" s="19"/>
      <c r="L898" s="19"/>
      <c r="O898" s="20"/>
      <c r="P898" s="20"/>
      <c r="Q898" s="19"/>
      <c r="S898" s="19"/>
      <c r="T898" s="19"/>
      <c r="U898" s="19"/>
      <c r="V898" s="19"/>
      <c r="W898" s="19"/>
      <c r="X898" s="19"/>
    </row>
    <row r="899" ht="15.75" customHeight="1">
      <c r="D899" s="19"/>
      <c r="E899" s="19"/>
      <c r="F899" s="19"/>
      <c r="H899" s="19"/>
      <c r="I899" s="5"/>
      <c r="J899" s="19"/>
      <c r="K899" s="19"/>
      <c r="L899" s="19"/>
      <c r="O899" s="20"/>
      <c r="P899" s="20"/>
      <c r="Q899" s="19"/>
      <c r="S899" s="19"/>
      <c r="T899" s="19"/>
      <c r="U899" s="19"/>
      <c r="V899" s="19"/>
      <c r="W899" s="19"/>
      <c r="X899" s="19"/>
    </row>
    <row r="900" ht="15.75" customHeight="1">
      <c r="D900" s="19"/>
      <c r="E900" s="19"/>
      <c r="F900" s="19"/>
      <c r="H900" s="19"/>
      <c r="I900" s="5"/>
      <c r="J900" s="19"/>
      <c r="K900" s="19"/>
      <c r="L900" s="19"/>
      <c r="O900" s="20"/>
      <c r="P900" s="20"/>
      <c r="Q900" s="19"/>
      <c r="S900" s="19"/>
      <c r="T900" s="19"/>
      <c r="U900" s="19"/>
      <c r="V900" s="19"/>
      <c r="W900" s="19"/>
      <c r="X900" s="19"/>
    </row>
    <row r="901" ht="15.75" customHeight="1">
      <c r="D901" s="19"/>
      <c r="E901" s="19"/>
      <c r="F901" s="19"/>
      <c r="H901" s="19"/>
      <c r="I901" s="5"/>
      <c r="J901" s="19"/>
      <c r="K901" s="19"/>
      <c r="L901" s="19"/>
      <c r="O901" s="20"/>
      <c r="P901" s="20"/>
      <c r="Q901" s="19"/>
      <c r="S901" s="19"/>
      <c r="T901" s="19"/>
      <c r="U901" s="19"/>
      <c r="V901" s="19"/>
      <c r="W901" s="19"/>
      <c r="X901" s="19"/>
    </row>
    <row r="902" ht="15.75" customHeight="1">
      <c r="D902" s="19"/>
      <c r="E902" s="19"/>
      <c r="F902" s="19"/>
      <c r="H902" s="19"/>
      <c r="I902" s="5"/>
      <c r="J902" s="19"/>
      <c r="K902" s="19"/>
      <c r="L902" s="19"/>
      <c r="O902" s="20"/>
      <c r="P902" s="20"/>
      <c r="Q902" s="19"/>
      <c r="S902" s="19"/>
      <c r="T902" s="19"/>
      <c r="U902" s="19"/>
      <c r="V902" s="19"/>
      <c r="W902" s="19"/>
      <c r="X902" s="19"/>
    </row>
    <row r="903" ht="15.75" customHeight="1">
      <c r="D903" s="19"/>
      <c r="E903" s="19"/>
      <c r="F903" s="19"/>
      <c r="H903" s="19"/>
      <c r="I903" s="5"/>
      <c r="J903" s="19"/>
      <c r="K903" s="19"/>
      <c r="L903" s="19"/>
      <c r="O903" s="20"/>
      <c r="P903" s="20"/>
      <c r="Q903" s="19"/>
      <c r="S903" s="19"/>
      <c r="T903" s="19"/>
      <c r="U903" s="19"/>
      <c r="V903" s="19"/>
      <c r="W903" s="19"/>
      <c r="X903" s="19"/>
    </row>
    <row r="904" ht="15.75" customHeight="1">
      <c r="D904" s="19"/>
      <c r="E904" s="19"/>
      <c r="F904" s="19"/>
      <c r="H904" s="19"/>
      <c r="I904" s="5"/>
      <c r="J904" s="19"/>
      <c r="K904" s="19"/>
      <c r="L904" s="19"/>
      <c r="O904" s="20"/>
      <c r="P904" s="20"/>
      <c r="Q904" s="19"/>
      <c r="S904" s="19"/>
      <c r="T904" s="19"/>
      <c r="U904" s="19"/>
      <c r="V904" s="19"/>
      <c r="W904" s="19"/>
      <c r="X904" s="19"/>
    </row>
    <row r="905" ht="15.75" customHeight="1">
      <c r="D905" s="19"/>
      <c r="E905" s="19"/>
      <c r="F905" s="19"/>
      <c r="H905" s="19"/>
      <c r="I905" s="5"/>
      <c r="J905" s="19"/>
      <c r="K905" s="19"/>
      <c r="L905" s="19"/>
      <c r="O905" s="20"/>
      <c r="P905" s="20"/>
      <c r="Q905" s="19"/>
      <c r="S905" s="19"/>
      <c r="T905" s="19"/>
      <c r="U905" s="19"/>
      <c r="V905" s="19"/>
      <c r="W905" s="19"/>
      <c r="X905" s="19"/>
    </row>
    <row r="906" ht="15.75" customHeight="1">
      <c r="D906" s="19"/>
      <c r="E906" s="19"/>
      <c r="F906" s="19"/>
      <c r="H906" s="19"/>
      <c r="I906" s="5"/>
      <c r="J906" s="19"/>
      <c r="K906" s="19"/>
      <c r="L906" s="19"/>
      <c r="O906" s="20"/>
      <c r="P906" s="20"/>
      <c r="Q906" s="19"/>
      <c r="S906" s="19"/>
      <c r="T906" s="19"/>
      <c r="U906" s="19"/>
      <c r="V906" s="19"/>
      <c r="W906" s="19"/>
      <c r="X906" s="19"/>
    </row>
    <row r="907" ht="15.75" customHeight="1">
      <c r="D907" s="19"/>
      <c r="E907" s="19"/>
      <c r="F907" s="19"/>
      <c r="H907" s="19"/>
      <c r="I907" s="5"/>
      <c r="J907" s="19"/>
      <c r="K907" s="19"/>
      <c r="L907" s="19"/>
      <c r="O907" s="20"/>
      <c r="P907" s="20"/>
      <c r="Q907" s="19"/>
      <c r="S907" s="19"/>
      <c r="T907" s="19"/>
      <c r="U907" s="19"/>
      <c r="V907" s="19"/>
      <c r="W907" s="19"/>
      <c r="X907" s="19"/>
    </row>
    <row r="908" ht="15.75" customHeight="1">
      <c r="D908" s="19"/>
      <c r="E908" s="19"/>
      <c r="F908" s="19"/>
      <c r="H908" s="19"/>
      <c r="I908" s="5"/>
      <c r="J908" s="19"/>
      <c r="K908" s="19"/>
      <c r="L908" s="19"/>
      <c r="O908" s="20"/>
      <c r="P908" s="20"/>
      <c r="Q908" s="19"/>
      <c r="S908" s="19"/>
      <c r="T908" s="19"/>
      <c r="U908" s="19"/>
      <c r="V908" s="19"/>
      <c r="W908" s="19"/>
      <c r="X908" s="19"/>
    </row>
    <row r="909" ht="15.75" customHeight="1">
      <c r="D909" s="19"/>
      <c r="E909" s="19"/>
      <c r="F909" s="19"/>
      <c r="H909" s="19"/>
      <c r="I909" s="5"/>
      <c r="J909" s="19"/>
      <c r="K909" s="19"/>
      <c r="L909" s="19"/>
      <c r="O909" s="20"/>
      <c r="P909" s="20"/>
      <c r="Q909" s="19"/>
      <c r="S909" s="19"/>
      <c r="T909" s="19"/>
      <c r="U909" s="19"/>
      <c r="V909" s="19"/>
      <c r="W909" s="19"/>
      <c r="X909" s="19"/>
    </row>
    <row r="910" ht="15.75" customHeight="1">
      <c r="D910" s="19"/>
      <c r="E910" s="19"/>
      <c r="F910" s="19"/>
      <c r="H910" s="19"/>
      <c r="I910" s="5"/>
      <c r="J910" s="19"/>
      <c r="K910" s="19"/>
      <c r="L910" s="19"/>
      <c r="O910" s="20"/>
      <c r="P910" s="20"/>
      <c r="Q910" s="19"/>
      <c r="S910" s="19"/>
      <c r="T910" s="19"/>
      <c r="U910" s="19"/>
      <c r="V910" s="19"/>
      <c r="W910" s="19"/>
      <c r="X910" s="19"/>
    </row>
    <row r="911" ht="15.75" customHeight="1">
      <c r="D911" s="19"/>
      <c r="E911" s="19"/>
      <c r="F911" s="19"/>
      <c r="H911" s="19"/>
      <c r="I911" s="5"/>
      <c r="J911" s="19"/>
      <c r="K911" s="19"/>
      <c r="L911" s="19"/>
      <c r="O911" s="20"/>
      <c r="P911" s="20"/>
      <c r="Q911" s="19"/>
      <c r="S911" s="19"/>
      <c r="T911" s="19"/>
      <c r="U911" s="19"/>
      <c r="V911" s="19"/>
      <c r="W911" s="19"/>
      <c r="X911" s="19"/>
    </row>
    <row r="912" ht="15.75" customHeight="1">
      <c r="D912" s="19"/>
      <c r="E912" s="19"/>
      <c r="F912" s="19"/>
      <c r="H912" s="19"/>
      <c r="I912" s="5"/>
      <c r="J912" s="19"/>
      <c r="K912" s="19"/>
      <c r="L912" s="19"/>
      <c r="O912" s="20"/>
      <c r="P912" s="20"/>
      <c r="Q912" s="19"/>
      <c r="S912" s="19"/>
      <c r="T912" s="19"/>
      <c r="U912" s="19"/>
      <c r="V912" s="19"/>
      <c r="W912" s="19"/>
      <c r="X912" s="19"/>
    </row>
    <row r="913" ht="15.75" customHeight="1">
      <c r="D913" s="19"/>
      <c r="E913" s="19"/>
      <c r="F913" s="19"/>
      <c r="H913" s="19"/>
      <c r="I913" s="5"/>
      <c r="J913" s="19"/>
      <c r="K913" s="19"/>
      <c r="L913" s="19"/>
      <c r="O913" s="20"/>
      <c r="P913" s="20"/>
      <c r="Q913" s="19"/>
      <c r="S913" s="19"/>
      <c r="T913" s="19"/>
      <c r="U913" s="19"/>
      <c r="V913" s="19"/>
      <c r="W913" s="19"/>
      <c r="X913" s="19"/>
    </row>
    <row r="914" ht="15.75" customHeight="1">
      <c r="D914" s="19"/>
      <c r="E914" s="19"/>
      <c r="F914" s="19"/>
      <c r="H914" s="19"/>
      <c r="I914" s="5"/>
      <c r="J914" s="19"/>
      <c r="K914" s="19"/>
      <c r="L914" s="19"/>
      <c r="O914" s="20"/>
      <c r="P914" s="20"/>
      <c r="Q914" s="19"/>
      <c r="S914" s="19"/>
      <c r="T914" s="19"/>
      <c r="U914" s="19"/>
      <c r="V914" s="19"/>
      <c r="W914" s="19"/>
      <c r="X914" s="19"/>
    </row>
    <row r="915" ht="15.75" customHeight="1">
      <c r="D915" s="19"/>
      <c r="E915" s="19"/>
      <c r="F915" s="19"/>
      <c r="H915" s="19"/>
      <c r="I915" s="5"/>
      <c r="J915" s="19"/>
      <c r="K915" s="19"/>
      <c r="L915" s="19"/>
      <c r="O915" s="20"/>
      <c r="P915" s="20"/>
      <c r="Q915" s="19"/>
      <c r="S915" s="19"/>
      <c r="T915" s="19"/>
      <c r="U915" s="19"/>
      <c r="V915" s="19"/>
      <c r="W915" s="19"/>
      <c r="X915" s="19"/>
    </row>
    <row r="916" ht="15.75" customHeight="1">
      <c r="D916" s="19"/>
      <c r="E916" s="19"/>
      <c r="F916" s="19"/>
      <c r="H916" s="19"/>
      <c r="I916" s="5"/>
      <c r="J916" s="19"/>
      <c r="K916" s="19"/>
      <c r="L916" s="19"/>
      <c r="O916" s="20"/>
      <c r="P916" s="20"/>
      <c r="Q916" s="19"/>
      <c r="S916" s="19"/>
      <c r="T916" s="19"/>
      <c r="U916" s="19"/>
      <c r="V916" s="19"/>
      <c r="W916" s="19"/>
      <c r="X916" s="19"/>
    </row>
    <row r="917" ht="15.75" customHeight="1">
      <c r="D917" s="19"/>
      <c r="E917" s="19"/>
      <c r="F917" s="19"/>
      <c r="H917" s="19"/>
      <c r="I917" s="5"/>
      <c r="J917" s="19"/>
      <c r="K917" s="19"/>
      <c r="L917" s="19"/>
      <c r="O917" s="20"/>
      <c r="P917" s="20"/>
      <c r="Q917" s="19"/>
      <c r="S917" s="19"/>
      <c r="T917" s="19"/>
      <c r="U917" s="19"/>
      <c r="V917" s="19"/>
      <c r="W917" s="19"/>
      <c r="X917" s="19"/>
    </row>
    <row r="918" ht="15.75" customHeight="1">
      <c r="D918" s="19"/>
      <c r="E918" s="19"/>
      <c r="F918" s="19"/>
      <c r="H918" s="19"/>
      <c r="I918" s="5"/>
      <c r="J918" s="19"/>
      <c r="K918" s="19"/>
      <c r="L918" s="19"/>
      <c r="O918" s="20"/>
      <c r="P918" s="20"/>
      <c r="Q918" s="19"/>
      <c r="S918" s="19"/>
      <c r="T918" s="19"/>
      <c r="U918" s="19"/>
      <c r="V918" s="19"/>
      <c r="W918" s="19"/>
      <c r="X918" s="19"/>
    </row>
    <row r="919" ht="15.75" customHeight="1">
      <c r="D919" s="19"/>
      <c r="E919" s="19"/>
      <c r="F919" s="19"/>
      <c r="H919" s="19"/>
      <c r="I919" s="5"/>
      <c r="J919" s="19"/>
      <c r="K919" s="19"/>
      <c r="L919" s="19"/>
      <c r="O919" s="20"/>
      <c r="P919" s="20"/>
      <c r="Q919" s="19"/>
      <c r="S919" s="19"/>
      <c r="T919" s="19"/>
      <c r="U919" s="19"/>
      <c r="V919" s="19"/>
      <c r="W919" s="19"/>
      <c r="X919" s="19"/>
    </row>
    <row r="920" ht="15.75" customHeight="1">
      <c r="D920" s="19"/>
      <c r="E920" s="19"/>
      <c r="F920" s="19"/>
      <c r="H920" s="19"/>
      <c r="I920" s="5"/>
      <c r="J920" s="19"/>
      <c r="K920" s="19"/>
      <c r="L920" s="19"/>
      <c r="O920" s="20"/>
      <c r="P920" s="20"/>
      <c r="Q920" s="19"/>
      <c r="S920" s="19"/>
      <c r="T920" s="19"/>
      <c r="U920" s="19"/>
      <c r="V920" s="19"/>
      <c r="W920" s="19"/>
      <c r="X920" s="19"/>
    </row>
    <row r="921" ht="15.75" customHeight="1">
      <c r="D921" s="19"/>
      <c r="E921" s="19"/>
      <c r="F921" s="19"/>
      <c r="H921" s="19"/>
      <c r="I921" s="5"/>
      <c r="J921" s="19"/>
      <c r="K921" s="19"/>
      <c r="L921" s="19"/>
      <c r="O921" s="20"/>
      <c r="P921" s="20"/>
      <c r="Q921" s="19"/>
      <c r="S921" s="19"/>
      <c r="T921" s="19"/>
      <c r="U921" s="19"/>
      <c r="V921" s="19"/>
      <c r="W921" s="19"/>
      <c r="X921" s="19"/>
    </row>
    <row r="922" ht="15.75" customHeight="1">
      <c r="D922" s="19"/>
      <c r="E922" s="19"/>
      <c r="F922" s="19"/>
      <c r="H922" s="19"/>
      <c r="I922" s="5"/>
      <c r="J922" s="19"/>
      <c r="K922" s="19"/>
      <c r="L922" s="19"/>
      <c r="O922" s="20"/>
      <c r="P922" s="20"/>
      <c r="Q922" s="19"/>
      <c r="S922" s="19"/>
      <c r="T922" s="19"/>
      <c r="U922" s="19"/>
      <c r="V922" s="19"/>
      <c r="W922" s="19"/>
      <c r="X922" s="19"/>
    </row>
    <row r="923" ht="15.75" customHeight="1">
      <c r="D923" s="19"/>
      <c r="E923" s="19"/>
      <c r="F923" s="19"/>
      <c r="H923" s="19"/>
      <c r="I923" s="5"/>
      <c r="J923" s="19"/>
      <c r="K923" s="19"/>
      <c r="L923" s="19"/>
      <c r="O923" s="20"/>
      <c r="P923" s="20"/>
      <c r="Q923" s="19"/>
      <c r="S923" s="19"/>
      <c r="T923" s="19"/>
      <c r="U923" s="19"/>
      <c r="V923" s="19"/>
      <c r="W923" s="19"/>
      <c r="X923" s="19"/>
    </row>
    <row r="924" ht="15.75" customHeight="1">
      <c r="D924" s="19"/>
      <c r="E924" s="19"/>
      <c r="F924" s="19"/>
      <c r="H924" s="19"/>
      <c r="I924" s="5"/>
      <c r="J924" s="19"/>
      <c r="K924" s="19"/>
      <c r="L924" s="19"/>
      <c r="O924" s="20"/>
      <c r="P924" s="20"/>
      <c r="Q924" s="19"/>
      <c r="S924" s="19"/>
      <c r="T924" s="19"/>
      <c r="U924" s="19"/>
      <c r="V924" s="19"/>
      <c r="W924" s="19"/>
      <c r="X924" s="19"/>
    </row>
    <row r="925" ht="15.75" customHeight="1">
      <c r="D925" s="19"/>
      <c r="E925" s="19"/>
      <c r="F925" s="19"/>
      <c r="H925" s="19"/>
      <c r="I925" s="5"/>
      <c r="J925" s="19"/>
      <c r="K925" s="19"/>
      <c r="L925" s="19"/>
      <c r="O925" s="20"/>
      <c r="P925" s="20"/>
      <c r="Q925" s="19"/>
      <c r="S925" s="19"/>
      <c r="T925" s="19"/>
      <c r="U925" s="19"/>
      <c r="V925" s="19"/>
      <c r="W925" s="19"/>
      <c r="X925" s="19"/>
    </row>
    <row r="926" ht="15.75" customHeight="1">
      <c r="D926" s="19"/>
      <c r="E926" s="19"/>
      <c r="F926" s="19"/>
      <c r="H926" s="19"/>
      <c r="I926" s="5"/>
      <c r="J926" s="19"/>
      <c r="K926" s="19"/>
      <c r="L926" s="19"/>
      <c r="O926" s="20"/>
      <c r="P926" s="20"/>
      <c r="Q926" s="19"/>
      <c r="S926" s="19"/>
      <c r="T926" s="19"/>
      <c r="U926" s="19"/>
      <c r="V926" s="19"/>
      <c r="W926" s="19"/>
      <c r="X926" s="19"/>
    </row>
    <row r="927" ht="15.75" customHeight="1">
      <c r="D927" s="19"/>
      <c r="E927" s="19"/>
      <c r="F927" s="19"/>
      <c r="H927" s="19"/>
      <c r="I927" s="5"/>
      <c r="J927" s="19"/>
      <c r="K927" s="19"/>
      <c r="L927" s="19"/>
      <c r="O927" s="20"/>
      <c r="P927" s="20"/>
      <c r="Q927" s="19"/>
      <c r="S927" s="19"/>
      <c r="T927" s="19"/>
      <c r="U927" s="19"/>
      <c r="V927" s="19"/>
      <c r="W927" s="19"/>
      <c r="X927" s="19"/>
    </row>
    <row r="928" ht="15.75" customHeight="1">
      <c r="D928" s="19"/>
      <c r="E928" s="19"/>
      <c r="F928" s="19"/>
      <c r="H928" s="19"/>
      <c r="I928" s="5"/>
      <c r="J928" s="19"/>
      <c r="K928" s="19"/>
      <c r="L928" s="19"/>
      <c r="O928" s="20"/>
      <c r="P928" s="20"/>
      <c r="Q928" s="19"/>
      <c r="S928" s="19"/>
      <c r="T928" s="19"/>
      <c r="U928" s="19"/>
      <c r="V928" s="19"/>
      <c r="W928" s="19"/>
      <c r="X928" s="19"/>
    </row>
    <row r="929" ht="15.75" customHeight="1">
      <c r="D929" s="19"/>
      <c r="E929" s="19"/>
      <c r="F929" s="19"/>
      <c r="H929" s="19"/>
      <c r="I929" s="5"/>
      <c r="J929" s="19"/>
      <c r="K929" s="19"/>
      <c r="L929" s="19"/>
      <c r="O929" s="20"/>
      <c r="P929" s="20"/>
      <c r="Q929" s="19"/>
      <c r="S929" s="19"/>
      <c r="T929" s="19"/>
      <c r="U929" s="19"/>
      <c r="V929" s="19"/>
      <c r="W929" s="19"/>
      <c r="X929" s="19"/>
    </row>
    <row r="930" ht="15.75" customHeight="1">
      <c r="D930" s="19"/>
      <c r="E930" s="19"/>
      <c r="F930" s="19"/>
      <c r="H930" s="19"/>
      <c r="I930" s="5"/>
      <c r="J930" s="19"/>
      <c r="K930" s="19"/>
      <c r="L930" s="19"/>
      <c r="O930" s="20"/>
      <c r="P930" s="20"/>
      <c r="Q930" s="19"/>
      <c r="S930" s="19"/>
      <c r="T930" s="19"/>
      <c r="U930" s="19"/>
      <c r="V930" s="19"/>
      <c r="W930" s="19"/>
      <c r="X930" s="19"/>
    </row>
    <row r="931" ht="15.75" customHeight="1">
      <c r="D931" s="19"/>
      <c r="E931" s="19"/>
      <c r="F931" s="19"/>
      <c r="H931" s="19"/>
      <c r="I931" s="5"/>
      <c r="J931" s="19"/>
      <c r="K931" s="19"/>
      <c r="L931" s="19"/>
      <c r="O931" s="20"/>
      <c r="P931" s="20"/>
      <c r="Q931" s="19"/>
      <c r="S931" s="19"/>
      <c r="T931" s="19"/>
      <c r="U931" s="19"/>
      <c r="V931" s="19"/>
      <c r="W931" s="19"/>
      <c r="X931" s="19"/>
    </row>
    <row r="932" ht="15.75" customHeight="1">
      <c r="D932" s="19"/>
      <c r="E932" s="19"/>
      <c r="F932" s="19"/>
      <c r="H932" s="19"/>
      <c r="I932" s="5"/>
      <c r="J932" s="19"/>
      <c r="K932" s="19"/>
      <c r="L932" s="19"/>
      <c r="O932" s="20"/>
      <c r="P932" s="20"/>
      <c r="Q932" s="19"/>
      <c r="S932" s="19"/>
      <c r="T932" s="19"/>
      <c r="U932" s="19"/>
      <c r="V932" s="19"/>
      <c r="W932" s="19"/>
      <c r="X932" s="19"/>
    </row>
    <row r="933" ht="15.75" customHeight="1">
      <c r="D933" s="19"/>
      <c r="E933" s="19"/>
      <c r="F933" s="19"/>
      <c r="H933" s="19"/>
      <c r="I933" s="5"/>
      <c r="J933" s="19"/>
      <c r="K933" s="19"/>
      <c r="L933" s="19"/>
      <c r="O933" s="20"/>
      <c r="P933" s="20"/>
      <c r="Q933" s="19"/>
      <c r="S933" s="19"/>
      <c r="T933" s="19"/>
      <c r="U933" s="19"/>
      <c r="V933" s="19"/>
      <c r="W933" s="19"/>
      <c r="X933" s="19"/>
    </row>
    <row r="934" ht="15.75" customHeight="1">
      <c r="D934" s="19"/>
      <c r="E934" s="19"/>
      <c r="F934" s="19"/>
      <c r="H934" s="19"/>
      <c r="I934" s="5"/>
      <c r="J934" s="19"/>
      <c r="K934" s="19"/>
      <c r="L934" s="19"/>
      <c r="O934" s="20"/>
      <c r="P934" s="20"/>
      <c r="Q934" s="19"/>
      <c r="S934" s="19"/>
      <c r="T934" s="19"/>
      <c r="U934" s="19"/>
      <c r="V934" s="19"/>
      <c r="W934" s="19"/>
      <c r="X934" s="19"/>
    </row>
    <row r="935" ht="15.75" customHeight="1">
      <c r="D935" s="19"/>
      <c r="E935" s="19"/>
      <c r="F935" s="19"/>
      <c r="H935" s="19"/>
      <c r="I935" s="5"/>
      <c r="J935" s="19"/>
      <c r="K935" s="19"/>
      <c r="L935" s="19"/>
      <c r="O935" s="20"/>
      <c r="P935" s="20"/>
      <c r="Q935" s="19"/>
      <c r="S935" s="19"/>
      <c r="T935" s="19"/>
      <c r="U935" s="19"/>
      <c r="V935" s="19"/>
      <c r="W935" s="19"/>
      <c r="X935" s="19"/>
    </row>
    <row r="936" ht="15.75" customHeight="1">
      <c r="D936" s="19"/>
      <c r="E936" s="19"/>
      <c r="F936" s="19"/>
      <c r="H936" s="19"/>
      <c r="I936" s="5"/>
      <c r="J936" s="19"/>
      <c r="K936" s="19"/>
      <c r="L936" s="19"/>
      <c r="O936" s="20"/>
      <c r="P936" s="20"/>
      <c r="Q936" s="19"/>
      <c r="S936" s="19"/>
      <c r="T936" s="19"/>
      <c r="U936" s="19"/>
      <c r="V936" s="19"/>
      <c r="W936" s="19"/>
      <c r="X936" s="19"/>
    </row>
    <row r="937" ht="15.75" customHeight="1">
      <c r="D937" s="19"/>
      <c r="E937" s="19"/>
      <c r="F937" s="19"/>
      <c r="H937" s="19"/>
      <c r="I937" s="5"/>
      <c r="J937" s="19"/>
      <c r="K937" s="19"/>
      <c r="L937" s="19"/>
      <c r="O937" s="20"/>
      <c r="P937" s="20"/>
      <c r="Q937" s="19"/>
      <c r="S937" s="19"/>
      <c r="T937" s="19"/>
      <c r="U937" s="19"/>
      <c r="V937" s="19"/>
      <c r="W937" s="19"/>
      <c r="X937" s="19"/>
    </row>
    <row r="938" ht="15.75" customHeight="1">
      <c r="D938" s="19"/>
      <c r="E938" s="19"/>
      <c r="F938" s="19"/>
      <c r="H938" s="19"/>
      <c r="I938" s="5"/>
      <c r="J938" s="19"/>
      <c r="K938" s="19"/>
      <c r="L938" s="19"/>
      <c r="O938" s="20"/>
      <c r="P938" s="20"/>
      <c r="Q938" s="19"/>
      <c r="S938" s="19"/>
      <c r="T938" s="19"/>
      <c r="U938" s="19"/>
      <c r="V938" s="19"/>
      <c r="W938" s="19"/>
      <c r="X938" s="19"/>
    </row>
    <row r="939" ht="15.75" customHeight="1">
      <c r="D939" s="19"/>
      <c r="E939" s="19"/>
      <c r="F939" s="19"/>
      <c r="H939" s="19"/>
      <c r="I939" s="5"/>
      <c r="J939" s="19"/>
      <c r="K939" s="19"/>
      <c r="L939" s="19"/>
      <c r="O939" s="20"/>
      <c r="P939" s="20"/>
      <c r="Q939" s="19"/>
      <c r="S939" s="19"/>
      <c r="T939" s="19"/>
      <c r="U939" s="19"/>
      <c r="V939" s="19"/>
      <c r="W939" s="19"/>
      <c r="X939" s="19"/>
    </row>
    <row r="940" ht="15.75" customHeight="1">
      <c r="D940" s="19"/>
      <c r="E940" s="19"/>
      <c r="F940" s="19"/>
      <c r="H940" s="19"/>
      <c r="I940" s="5"/>
      <c r="J940" s="19"/>
      <c r="K940" s="19"/>
      <c r="L940" s="19"/>
      <c r="O940" s="20"/>
      <c r="P940" s="20"/>
      <c r="Q940" s="19"/>
      <c r="S940" s="19"/>
      <c r="T940" s="19"/>
      <c r="U940" s="19"/>
      <c r="V940" s="19"/>
      <c r="W940" s="19"/>
      <c r="X940" s="19"/>
    </row>
    <row r="941" ht="15.75" customHeight="1">
      <c r="D941" s="19"/>
      <c r="E941" s="19"/>
      <c r="F941" s="19"/>
      <c r="H941" s="19"/>
      <c r="I941" s="5"/>
      <c r="J941" s="19"/>
      <c r="K941" s="19"/>
      <c r="L941" s="19"/>
      <c r="O941" s="20"/>
      <c r="P941" s="20"/>
      <c r="Q941" s="19"/>
      <c r="S941" s="19"/>
      <c r="T941" s="19"/>
      <c r="U941" s="19"/>
      <c r="V941" s="19"/>
      <c r="W941" s="19"/>
      <c r="X941" s="19"/>
    </row>
    <row r="942" ht="15.75" customHeight="1">
      <c r="D942" s="19"/>
      <c r="E942" s="19"/>
      <c r="F942" s="19"/>
      <c r="H942" s="19"/>
      <c r="I942" s="5"/>
      <c r="J942" s="19"/>
      <c r="K942" s="19"/>
      <c r="L942" s="19"/>
      <c r="O942" s="20"/>
      <c r="P942" s="20"/>
      <c r="Q942" s="19"/>
      <c r="S942" s="19"/>
      <c r="T942" s="19"/>
      <c r="U942" s="19"/>
      <c r="V942" s="19"/>
      <c r="W942" s="19"/>
      <c r="X942" s="19"/>
    </row>
    <row r="943" ht="15.75" customHeight="1">
      <c r="D943" s="19"/>
      <c r="E943" s="19"/>
      <c r="F943" s="19"/>
      <c r="H943" s="19"/>
      <c r="I943" s="5"/>
      <c r="J943" s="19"/>
      <c r="K943" s="19"/>
      <c r="L943" s="19"/>
      <c r="O943" s="20"/>
      <c r="P943" s="20"/>
      <c r="Q943" s="19"/>
      <c r="S943" s="19"/>
      <c r="T943" s="19"/>
      <c r="U943" s="19"/>
      <c r="V943" s="19"/>
      <c r="W943" s="19"/>
      <c r="X943" s="19"/>
    </row>
    <row r="944" ht="15.75" customHeight="1">
      <c r="D944" s="19"/>
      <c r="E944" s="19"/>
      <c r="F944" s="19"/>
      <c r="H944" s="19"/>
      <c r="I944" s="5"/>
      <c r="J944" s="19"/>
      <c r="K944" s="19"/>
      <c r="L944" s="19"/>
      <c r="O944" s="20"/>
      <c r="P944" s="20"/>
      <c r="Q944" s="19"/>
      <c r="S944" s="19"/>
      <c r="T944" s="19"/>
      <c r="U944" s="19"/>
      <c r="V944" s="19"/>
      <c r="W944" s="19"/>
      <c r="X944" s="19"/>
    </row>
    <row r="945" ht="15.75" customHeight="1">
      <c r="D945" s="19"/>
      <c r="E945" s="19"/>
      <c r="F945" s="19"/>
      <c r="H945" s="19"/>
      <c r="I945" s="5"/>
      <c r="J945" s="19"/>
      <c r="K945" s="19"/>
      <c r="L945" s="19"/>
      <c r="O945" s="20"/>
      <c r="P945" s="20"/>
      <c r="Q945" s="19"/>
      <c r="S945" s="19"/>
      <c r="T945" s="19"/>
      <c r="U945" s="19"/>
      <c r="V945" s="19"/>
      <c r="W945" s="19"/>
      <c r="X945" s="19"/>
    </row>
    <row r="946" ht="15.75" customHeight="1">
      <c r="D946" s="19"/>
      <c r="E946" s="19"/>
      <c r="F946" s="19"/>
      <c r="H946" s="19"/>
      <c r="I946" s="5"/>
      <c r="J946" s="19"/>
      <c r="K946" s="19"/>
      <c r="L946" s="19"/>
      <c r="O946" s="20"/>
      <c r="P946" s="20"/>
      <c r="Q946" s="19"/>
      <c r="S946" s="19"/>
      <c r="T946" s="19"/>
      <c r="U946" s="19"/>
      <c r="V946" s="19"/>
      <c r="W946" s="19"/>
      <c r="X946" s="19"/>
    </row>
    <row r="947" ht="15.75" customHeight="1">
      <c r="D947" s="19"/>
      <c r="E947" s="19"/>
      <c r="F947" s="19"/>
      <c r="H947" s="19"/>
      <c r="I947" s="5"/>
      <c r="J947" s="19"/>
      <c r="K947" s="19"/>
      <c r="L947" s="19"/>
      <c r="O947" s="20"/>
      <c r="P947" s="20"/>
      <c r="Q947" s="19"/>
      <c r="S947" s="19"/>
      <c r="T947" s="19"/>
      <c r="U947" s="19"/>
      <c r="V947" s="19"/>
      <c r="W947" s="19"/>
      <c r="X947" s="19"/>
    </row>
    <row r="948" ht="15.75" customHeight="1">
      <c r="D948" s="19"/>
      <c r="E948" s="19"/>
      <c r="F948" s="19"/>
      <c r="H948" s="19"/>
      <c r="I948" s="5"/>
      <c r="J948" s="19"/>
      <c r="K948" s="19"/>
      <c r="L948" s="19"/>
      <c r="O948" s="20"/>
      <c r="P948" s="20"/>
      <c r="Q948" s="19"/>
      <c r="S948" s="19"/>
      <c r="T948" s="19"/>
      <c r="U948" s="19"/>
      <c r="V948" s="19"/>
      <c r="W948" s="19"/>
      <c r="X948" s="19"/>
    </row>
    <row r="949" ht="15.75" customHeight="1">
      <c r="D949" s="19"/>
      <c r="E949" s="19"/>
      <c r="F949" s="19"/>
      <c r="H949" s="19"/>
      <c r="I949" s="5"/>
      <c r="J949" s="19"/>
      <c r="K949" s="19"/>
      <c r="L949" s="19"/>
      <c r="O949" s="20"/>
      <c r="P949" s="20"/>
      <c r="Q949" s="19"/>
      <c r="S949" s="19"/>
      <c r="T949" s="19"/>
      <c r="U949" s="19"/>
      <c r="V949" s="19"/>
      <c r="W949" s="19"/>
      <c r="X949" s="19"/>
    </row>
    <row r="950" ht="15.75" customHeight="1">
      <c r="D950" s="19"/>
      <c r="E950" s="19"/>
      <c r="F950" s="19"/>
      <c r="H950" s="19"/>
      <c r="I950" s="5"/>
      <c r="J950" s="19"/>
      <c r="K950" s="19"/>
      <c r="L950" s="19"/>
      <c r="O950" s="20"/>
      <c r="P950" s="20"/>
      <c r="Q950" s="19"/>
      <c r="S950" s="19"/>
      <c r="T950" s="19"/>
      <c r="U950" s="19"/>
      <c r="V950" s="19"/>
      <c r="W950" s="19"/>
      <c r="X950" s="19"/>
    </row>
    <row r="951" ht="15.75" customHeight="1">
      <c r="D951" s="19"/>
      <c r="E951" s="19"/>
      <c r="F951" s="19"/>
      <c r="H951" s="19"/>
      <c r="I951" s="5"/>
      <c r="J951" s="19"/>
      <c r="K951" s="19"/>
      <c r="L951" s="19"/>
      <c r="O951" s="20"/>
      <c r="P951" s="20"/>
      <c r="Q951" s="19"/>
      <c r="S951" s="19"/>
      <c r="T951" s="19"/>
      <c r="U951" s="19"/>
      <c r="V951" s="19"/>
      <c r="W951" s="19"/>
      <c r="X951" s="19"/>
    </row>
    <row r="952" ht="15.75" customHeight="1">
      <c r="D952" s="19"/>
      <c r="E952" s="19"/>
      <c r="F952" s="19"/>
      <c r="H952" s="19"/>
      <c r="I952" s="5"/>
      <c r="J952" s="19"/>
      <c r="K952" s="19"/>
      <c r="L952" s="19"/>
      <c r="O952" s="20"/>
      <c r="P952" s="20"/>
      <c r="Q952" s="19"/>
      <c r="S952" s="19"/>
      <c r="T952" s="19"/>
      <c r="U952" s="19"/>
      <c r="V952" s="19"/>
      <c r="W952" s="19"/>
      <c r="X952" s="19"/>
    </row>
    <row r="953" ht="15.75" customHeight="1">
      <c r="D953" s="19"/>
      <c r="E953" s="19"/>
      <c r="F953" s="19"/>
      <c r="H953" s="19"/>
      <c r="I953" s="5"/>
      <c r="J953" s="19"/>
      <c r="K953" s="19"/>
      <c r="L953" s="19"/>
      <c r="O953" s="20"/>
      <c r="P953" s="20"/>
      <c r="Q953" s="19"/>
      <c r="S953" s="19"/>
      <c r="T953" s="19"/>
      <c r="U953" s="19"/>
      <c r="V953" s="19"/>
      <c r="W953" s="19"/>
      <c r="X953" s="19"/>
    </row>
    <row r="954" ht="15.75" customHeight="1">
      <c r="D954" s="19"/>
      <c r="E954" s="19"/>
      <c r="F954" s="19"/>
      <c r="H954" s="19"/>
      <c r="I954" s="5"/>
      <c r="J954" s="19"/>
      <c r="K954" s="19"/>
      <c r="L954" s="19"/>
      <c r="O954" s="20"/>
      <c r="P954" s="20"/>
      <c r="Q954" s="19"/>
      <c r="S954" s="19"/>
      <c r="T954" s="19"/>
      <c r="U954" s="19"/>
      <c r="V954" s="19"/>
      <c r="W954" s="19"/>
      <c r="X954" s="19"/>
    </row>
    <row r="955" ht="15.75" customHeight="1">
      <c r="D955" s="19"/>
      <c r="E955" s="19"/>
      <c r="F955" s="19"/>
      <c r="H955" s="19"/>
      <c r="I955" s="5"/>
      <c r="J955" s="19"/>
      <c r="K955" s="19"/>
      <c r="L955" s="19"/>
      <c r="O955" s="20"/>
      <c r="P955" s="20"/>
      <c r="Q955" s="19"/>
      <c r="S955" s="19"/>
      <c r="T955" s="19"/>
      <c r="U955" s="19"/>
      <c r="V955" s="19"/>
      <c r="W955" s="19"/>
      <c r="X955" s="19"/>
    </row>
    <row r="956" ht="15.75" customHeight="1">
      <c r="D956" s="19"/>
      <c r="E956" s="19"/>
      <c r="F956" s="19"/>
      <c r="H956" s="19"/>
      <c r="I956" s="5"/>
      <c r="J956" s="19"/>
      <c r="K956" s="19"/>
      <c r="L956" s="19"/>
      <c r="O956" s="20"/>
      <c r="P956" s="20"/>
      <c r="Q956" s="19"/>
      <c r="S956" s="19"/>
      <c r="T956" s="19"/>
      <c r="U956" s="19"/>
      <c r="V956" s="19"/>
      <c r="W956" s="19"/>
      <c r="X956" s="19"/>
    </row>
    <row r="957" ht="15.75" customHeight="1">
      <c r="D957" s="19"/>
      <c r="E957" s="19"/>
      <c r="F957" s="19"/>
      <c r="H957" s="19"/>
      <c r="I957" s="5"/>
      <c r="J957" s="19"/>
      <c r="K957" s="19"/>
      <c r="L957" s="19"/>
      <c r="O957" s="20"/>
      <c r="P957" s="20"/>
      <c r="Q957" s="19"/>
      <c r="S957" s="19"/>
      <c r="T957" s="19"/>
      <c r="U957" s="19"/>
      <c r="V957" s="19"/>
      <c r="W957" s="19"/>
      <c r="X957" s="19"/>
    </row>
    <row r="958" ht="15.75" customHeight="1">
      <c r="D958" s="19"/>
      <c r="E958" s="19"/>
      <c r="F958" s="19"/>
      <c r="H958" s="19"/>
      <c r="I958" s="5"/>
      <c r="J958" s="19"/>
      <c r="K958" s="19"/>
      <c r="L958" s="19"/>
      <c r="O958" s="20"/>
      <c r="P958" s="20"/>
      <c r="Q958" s="19"/>
      <c r="S958" s="19"/>
      <c r="T958" s="19"/>
      <c r="U958" s="19"/>
      <c r="V958" s="19"/>
      <c r="W958" s="19"/>
      <c r="X958" s="19"/>
    </row>
    <row r="959" ht="15.75" customHeight="1">
      <c r="D959" s="19"/>
      <c r="E959" s="19"/>
      <c r="F959" s="19"/>
      <c r="H959" s="19"/>
      <c r="I959" s="5"/>
      <c r="J959" s="19"/>
      <c r="K959" s="19"/>
      <c r="L959" s="19"/>
      <c r="O959" s="20"/>
      <c r="P959" s="20"/>
      <c r="Q959" s="19"/>
      <c r="S959" s="19"/>
      <c r="T959" s="19"/>
      <c r="U959" s="19"/>
      <c r="V959" s="19"/>
      <c r="W959" s="19"/>
      <c r="X959" s="19"/>
    </row>
    <row r="960" ht="15.75" customHeight="1">
      <c r="D960" s="19"/>
      <c r="E960" s="19"/>
      <c r="F960" s="19"/>
      <c r="H960" s="19"/>
      <c r="I960" s="5"/>
      <c r="J960" s="19"/>
      <c r="K960" s="19"/>
      <c r="L960" s="19"/>
      <c r="O960" s="20"/>
      <c r="P960" s="20"/>
      <c r="Q960" s="19"/>
      <c r="S960" s="19"/>
      <c r="T960" s="19"/>
      <c r="U960" s="19"/>
      <c r="V960" s="19"/>
      <c r="W960" s="19"/>
      <c r="X960" s="19"/>
    </row>
    <row r="961" ht="15.75" customHeight="1">
      <c r="D961" s="19"/>
      <c r="E961" s="19"/>
      <c r="F961" s="19"/>
      <c r="H961" s="19"/>
      <c r="I961" s="5"/>
      <c r="J961" s="19"/>
      <c r="K961" s="19"/>
      <c r="L961" s="19"/>
      <c r="O961" s="20"/>
      <c r="P961" s="20"/>
      <c r="Q961" s="19"/>
      <c r="S961" s="19"/>
      <c r="T961" s="19"/>
      <c r="U961" s="19"/>
      <c r="V961" s="19"/>
      <c r="W961" s="19"/>
      <c r="X961" s="19"/>
    </row>
    <row r="962" ht="15.75" customHeight="1">
      <c r="D962" s="19"/>
      <c r="E962" s="19"/>
      <c r="F962" s="19"/>
      <c r="H962" s="19"/>
      <c r="I962" s="5"/>
      <c r="J962" s="19"/>
      <c r="K962" s="19"/>
      <c r="L962" s="19"/>
      <c r="O962" s="20"/>
      <c r="P962" s="20"/>
      <c r="Q962" s="19"/>
      <c r="S962" s="19"/>
      <c r="T962" s="19"/>
      <c r="U962" s="19"/>
      <c r="V962" s="19"/>
      <c r="W962" s="19"/>
      <c r="X962" s="19"/>
    </row>
    <row r="963" ht="15.75" customHeight="1">
      <c r="D963" s="19"/>
      <c r="E963" s="19"/>
      <c r="F963" s="19"/>
      <c r="H963" s="19"/>
      <c r="I963" s="5"/>
      <c r="J963" s="19"/>
      <c r="K963" s="19"/>
      <c r="L963" s="19"/>
      <c r="O963" s="20"/>
      <c r="P963" s="20"/>
      <c r="Q963" s="19"/>
      <c r="S963" s="19"/>
      <c r="T963" s="19"/>
      <c r="U963" s="19"/>
      <c r="V963" s="19"/>
      <c r="W963" s="19"/>
      <c r="X963" s="19"/>
    </row>
    <row r="964" ht="15.75" customHeight="1">
      <c r="D964" s="19"/>
      <c r="E964" s="19"/>
      <c r="F964" s="19"/>
      <c r="H964" s="19"/>
      <c r="I964" s="5"/>
      <c r="J964" s="19"/>
      <c r="K964" s="19"/>
      <c r="L964" s="19"/>
      <c r="O964" s="20"/>
      <c r="P964" s="20"/>
      <c r="Q964" s="19"/>
      <c r="S964" s="19"/>
      <c r="T964" s="19"/>
      <c r="U964" s="19"/>
      <c r="V964" s="19"/>
      <c r="W964" s="19"/>
      <c r="X964" s="19"/>
    </row>
    <row r="965" ht="15.75" customHeight="1">
      <c r="D965" s="19"/>
      <c r="E965" s="19"/>
      <c r="F965" s="19"/>
      <c r="H965" s="19"/>
      <c r="I965" s="5"/>
      <c r="J965" s="19"/>
      <c r="K965" s="19"/>
      <c r="L965" s="19"/>
      <c r="O965" s="20"/>
      <c r="P965" s="20"/>
      <c r="Q965" s="19"/>
      <c r="S965" s="19"/>
      <c r="T965" s="19"/>
      <c r="U965" s="19"/>
      <c r="V965" s="19"/>
      <c r="W965" s="19"/>
      <c r="X965" s="19"/>
    </row>
    <row r="966" ht="15.75" customHeight="1">
      <c r="D966" s="19"/>
      <c r="E966" s="19"/>
      <c r="F966" s="19"/>
      <c r="H966" s="19"/>
      <c r="I966" s="5"/>
      <c r="J966" s="19"/>
      <c r="K966" s="19"/>
      <c r="L966" s="19"/>
      <c r="O966" s="20"/>
      <c r="P966" s="20"/>
      <c r="Q966" s="19"/>
      <c r="S966" s="19"/>
      <c r="T966" s="19"/>
      <c r="U966" s="19"/>
      <c r="V966" s="19"/>
      <c r="W966" s="19"/>
      <c r="X966" s="19"/>
    </row>
    <row r="967" ht="15.75" customHeight="1">
      <c r="D967" s="19"/>
      <c r="E967" s="19"/>
      <c r="F967" s="19"/>
      <c r="H967" s="19"/>
      <c r="I967" s="5"/>
      <c r="J967" s="19"/>
      <c r="K967" s="19"/>
      <c r="L967" s="19"/>
      <c r="O967" s="20"/>
      <c r="P967" s="20"/>
      <c r="Q967" s="19"/>
      <c r="S967" s="19"/>
      <c r="T967" s="19"/>
      <c r="U967" s="19"/>
      <c r="V967" s="19"/>
      <c r="W967" s="19"/>
      <c r="X967" s="19"/>
    </row>
    <row r="968" ht="15.75" customHeight="1">
      <c r="D968" s="19"/>
      <c r="E968" s="19"/>
      <c r="F968" s="19"/>
      <c r="H968" s="19"/>
      <c r="I968" s="5"/>
      <c r="J968" s="19"/>
      <c r="K968" s="19"/>
      <c r="L968" s="19"/>
      <c r="O968" s="20"/>
      <c r="P968" s="20"/>
      <c r="Q968" s="19"/>
      <c r="S968" s="19"/>
      <c r="T968" s="19"/>
      <c r="U968" s="19"/>
      <c r="V968" s="19"/>
      <c r="W968" s="19"/>
      <c r="X968" s="19"/>
    </row>
    <row r="969" ht="15.75" customHeight="1">
      <c r="D969" s="19"/>
      <c r="E969" s="19"/>
      <c r="F969" s="19"/>
      <c r="H969" s="19"/>
      <c r="I969" s="5"/>
      <c r="J969" s="19"/>
      <c r="K969" s="19"/>
      <c r="L969" s="19"/>
      <c r="O969" s="20"/>
      <c r="P969" s="20"/>
      <c r="Q969" s="19"/>
      <c r="S969" s="19"/>
      <c r="T969" s="19"/>
      <c r="U969" s="19"/>
      <c r="V969" s="19"/>
      <c r="W969" s="19"/>
      <c r="X969" s="19"/>
    </row>
    <row r="970" ht="15.75" customHeight="1">
      <c r="D970" s="19"/>
      <c r="E970" s="19"/>
      <c r="F970" s="19"/>
      <c r="H970" s="19"/>
      <c r="I970" s="5"/>
      <c r="J970" s="19"/>
      <c r="K970" s="19"/>
      <c r="L970" s="19"/>
      <c r="O970" s="20"/>
      <c r="P970" s="20"/>
      <c r="Q970" s="19"/>
      <c r="S970" s="19"/>
      <c r="T970" s="19"/>
      <c r="U970" s="19"/>
      <c r="V970" s="19"/>
      <c r="W970" s="19"/>
      <c r="X970" s="19"/>
    </row>
    <row r="971" ht="15.75" customHeight="1">
      <c r="D971" s="19"/>
      <c r="E971" s="19"/>
      <c r="F971" s="19"/>
      <c r="H971" s="19"/>
      <c r="I971" s="5"/>
      <c r="J971" s="19"/>
      <c r="K971" s="19"/>
      <c r="L971" s="19"/>
      <c r="O971" s="20"/>
      <c r="P971" s="20"/>
      <c r="Q971" s="19"/>
      <c r="S971" s="19"/>
      <c r="T971" s="19"/>
      <c r="U971" s="19"/>
      <c r="V971" s="19"/>
      <c r="W971" s="19"/>
      <c r="X971" s="19"/>
    </row>
    <row r="972" ht="15.75" customHeight="1">
      <c r="D972" s="19"/>
      <c r="E972" s="19"/>
      <c r="F972" s="19"/>
      <c r="H972" s="19"/>
      <c r="I972" s="5"/>
      <c r="J972" s="19"/>
      <c r="K972" s="19"/>
      <c r="L972" s="19"/>
      <c r="O972" s="20"/>
      <c r="P972" s="20"/>
      <c r="Q972" s="19"/>
      <c r="S972" s="19"/>
      <c r="T972" s="19"/>
      <c r="U972" s="19"/>
      <c r="V972" s="19"/>
      <c r="W972" s="19"/>
      <c r="X972" s="19"/>
    </row>
    <row r="973" ht="15.75" customHeight="1">
      <c r="D973" s="19"/>
      <c r="E973" s="19"/>
      <c r="F973" s="19"/>
      <c r="H973" s="19"/>
      <c r="I973" s="5"/>
      <c r="J973" s="19"/>
      <c r="K973" s="19"/>
      <c r="L973" s="19"/>
      <c r="O973" s="20"/>
      <c r="P973" s="20"/>
      <c r="Q973" s="19"/>
      <c r="S973" s="19"/>
      <c r="T973" s="19"/>
      <c r="U973" s="19"/>
      <c r="V973" s="19"/>
      <c r="W973" s="19"/>
      <c r="X973" s="19"/>
    </row>
    <row r="974" ht="15.75" customHeight="1">
      <c r="D974" s="19"/>
      <c r="E974" s="19"/>
      <c r="F974" s="19"/>
      <c r="H974" s="19"/>
      <c r="I974" s="5"/>
      <c r="J974" s="19"/>
      <c r="K974" s="19"/>
      <c r="L974" s="19"/>
      <c r="O974" s="20"/>
      <c r="P974" s="20"/>
      <c r="Q974" s="19"/>
      <c r="S974" s="19"/>
      <c r="T974" s="19"/>
      <c r="U974" s="19"/>
      <c r="V974" s="19"/>
      <c r="W974" s="19"/>
      <c r="X974" s="19"/>
    </row>
    <row r="975" ht="15.75" customHeight="1">
      <c r="D975" s="19"/>
      <c r="E975" s="19"/>
      <c r="F975" s="19"/>
      <c r="H975" s="19"/>
      <c r="I975" s="5"/>
      <c r="J975" s="19"/>
      <c r="K975" s="19"/>
      <c r="L975" s="19"/>
      <c r="O975" s="20"/>
      <c r="P975" s="20"/>
      <c r="Q975" s="19"/>
      <c r="S975" s="19"/>
      <c r="T975" s="19"/>
      <c r="U975" s="19"/>
      <c r="V975" s="19"/>
      <c r="W975" s="19"/>
      <c r="X975" s="19"/>
    </row>
    <row r="976" ht="15.75" customHeight="1">
      <c r="D976" s="19"/>
      <c r="E976" s="19"/>
      <c r="F976" s="19"/>
      <c r="H976" s="19"/>
      <c r="I976" s="5"/>
      <c r="J976" s="19"/>
      <c r="K976" s="19"/>
      <c r="L976" s="19"/>
      <c r="O976" s="20"/>
      <c r="P976" s="20"/>
      <c r="Q976" s="19"/>
      <c r="S976" s="19"/>
      <c r="T976" s="19"/>
      <c r="U976" s="19"/>
      <c r="V976" s="19"/>
      <c r="W976" s="19"/>
      <c r="X976" s="19"/>
    </row>
    <row r="977" ht="15.75" customHeight="1">
      <c r="D977" s="19"/>
      <c r="E977" s="19"/>
      <c r="F977" s="19"/>
      <c r="H977" s="19"/>
      <c r="I977" s="5"/>
      <c r="J977" s="19"/>
      <c r="K977" s="19"/>
      <c r="L977" s="19"/>
      <c r="O977" s="20"/>
      <c r="P977" s="20"/>
      <c r="Q977" s="19"/>
      <c r="S977" s="19"/>
      <c r="T977" s="19"/>
      <c r="U977" s="19"/>
      <c r="V977" s="19"/>
      <c r="W977" s="19"/>
      <c r="X977" s="19"/>
    </row>
    <row r="978" ht="15.75" customHeight="1">
      <c r="D978" s="19"/>
      <c r="E978" s="19"/>
      <c r="F978" s="19"/>
      <c r="H978" s="19"/>
      <c r="I978" s="5"/>
      <c r="J978" s="19"/>
      <c r="K978" s="19"/>
      <c r="L978" s="19"/>
      <c r="O978" s="20"/>
      <c r="P978" s="20"/>
      <c r="Q978" s="19"/>
      <c r="S978" s="19"/>
      <c r="T978" s="19"/>
      <c r="U978" s="19"/>
      <c r="V978" s="19"/>
      <c r="W978" s="19"/>
      <c r="X978" s="19"/>
    </row>
    <row r="979" ht="15.75" customHeight="1">
      <c r="D979" s="19"/>
      <c r="E979" s="19"/>
      <c r="F979" s="19"/>
      <c r="H979" s="19"/>
      <c r="I979" s="5"/>
      <c r="J979" s="19"/>
      <c r="K979" s="19"/>
      <c r="L979" s="19"/>
      <c r="O979" s="20"/>
      <c r="P979" s="20"/>
      <c r="Q979" s="19"/>
      <c r="S979" s="19"/>
      <c r="T979" s="19"/>
      <c r="U979" s="19"/>
      <c r="V979" s="19"/>
      <c r="W979" s="19"/>
      <c r="X979" s="19"/>
    </row>
    <row r="980" ht="15.75" customHeight="1">
      <c r="D980" s="19"/>
      <c r="E980" s="19"/>
      <c r="F980" s="19"/>
      <c r="H980" s="19"/>
      <c r="I980" s="5"/>
      <c r="J980" s="19"/>
      <c r="K980" s="19"/>
      <c r="L980" s="19"/>
      <c r="O980" s="20"/>
      <c r="P980" s="20"/>
      <c r="Q980" s="19"/>
      <c r="S980" s="19"/>
      <c r="T980" s="19"/>
      <c r="U980" s="19"/>
      <c r="V980" s="19"/>
      <c r="W980" s="19"/>
      <c r="X980" s="19"/>
    </row>
    <row r="981" ht="15.75" customHeight="1">
      <c r="D981" s="19"/>
      <c r="E981" s="19"/>
      <c r="F981" s="19"/>
      <c r="H981" s="19"/>
      <c r="I981" s="5"/>
      <c r="J981" s="19"/>
      <c r="K981" s="19"/>
      <c r="L981" s="19"/>
      <c r="O981" s="20"/>
      <c r="P981" s="20"/>
      <c r="Q981" s="19"/>
      <c r="S981" s="19"/>
      <c r="T981" s="19"/>
      <c r="U981" s="19"/>
      <c r="V981" s="19"/>
      <c r="W981" s="19"/>
      <c r="X981" s="19"/>
    </row>
    <row r="982" ht="15.75" customHeight="1">
      <c r="D982" s="19"/>
      <c r="E982" s="19"/>
      <c r="F982" s="19"/>
      <c r="H982" s="19"/>
      <c r="I982" s="5"/>
      <c r="J982" s="19"/>
      <c r="K982" s="19"/>
      <c r="L982" s="19"/>
      <c r="O982" s="20"/>
      <c r="P982" s="20"/>
      <c r="Q982" s="19"/>
      <c r="S982" s="19"/>
      <c r="T982" s="19"/>
      <c r="U982" s="19"/>
      <c r="V982" s="19"/>
      <c r="W982" s="19"/>
      <c r="X982" s="19"/>
    </row>
    <row r="983" ht="15.75" customHeight="1">
      <c r="D983" s="19"/>
      <c r="E983" s="19"/>
      <c r="F983" s="19"/>
      <c r="H983" s="19"/>
      <c r="I983" s="5"/>
      <c r="J983" s="19"/>
      <c r="K983" s="19"/>
      <c r="L983" s="19"/>
      <c r="O983" s="20"/>
      <c r="P983" s="20"/>
      <c r="Q983" s="19"/>
      <c r="S983" s="19"/>
      <c r="T983" s="19"/>
      <c r="U983" s="19"/>
      <c r="V983" s="19"/>
      <c r="W983" s="19"/>
      <c r="X983" s="19"/>
    </row>
    <row r="984" ht="15.75" customHeight="1">
      <c r="D984" s="19"/>
      <c r="E984" s="19"/>
      <c r="F984" s="19"/>
      <c r="H984" s="19"/>
      <c r="I984" s="5"/>
      <c r="J984" s="19"/>
      <c r="K984" s="19"/>
      <c r="L984" s="19"/>
      <c r="O984" s="20"/>
      <c r="P984" s="20"/>
      <c r="Q984" s="19"/>
      <c r="S984" s="19"/>
      <c r="T984" s="19"/>
      <c r="U984" s="19"/>
      <c r="V984" s="19"/>
      <c r="W984" s="19"/>
      <c r="X984" s="19"/>
    </row>
    <row r="985" ht="15.75" customHeight="1">
      <c r="D985" s="19"/>
      <c r="E985" s="19"/>
      <c r="F985" s="19"/>
      <c r="H985" s="19"/>
      <c r="I985" s="5"/>
      <c r="J985" s="19"/>
      <c r="K985" s="19"/>
      <c r="L985" s="19"/>
      <c r="O985" s="20"/>
      <c r="P985" s="20"/>
      <c r="Q985" s="19"/>
      <c r="S985" s="19"/>
      <c r="T985" s="19"/>
      <c r="U985" s="19"/>
      <c r="V985" s="19"/>
      <c r="W985" s="19"/>
      <c r="X985" s="19"/>
    </row>
    <row r="986" ht="15.75" customHeight="1">
      <c r="D986" s="19"/>
      <c r="E986" s="19"/>
      <c r="F986" s="19"/>
      <c r="H986" s="19"/>
      <c r="I986" s="5"/>
      <c r="J986" s="19"/>
      <c r="K986" s="19"/>
      <c r="L986" s="19"/>
      <c r="O986" s="20"/>
      <c r="P986" s="20"/>
      <c r="Q986" s="19"/>
      <c r="S986" s="19"/>
      <c r="T986" s="19"/>
      <c r="U986" s="19"/>
      <c r="V986" s="19"/>
      <c r="W986" s="19"/>
      <c r="X986" s="19"/>
    </row>
    <row r="987" ht="15.75" customHeight="1">
      <c r="D987" s="19"/>
      <c r="E987" s="19"/>
      <c r="F987" s="19"/>
      <c r="H987" s="19"/>
      <c r="I987" s="5"/>
      <c r="J987" s="19"/>
      <c r="K987" s="19"/>
      <c r="L987" s="19"/>
      <c r="O987" s="20"/>
      <c r="P987" s="20"/>
      <c r="Q987" s="19"/>
      <c r="S987" s="19"/>
      <c r="T987" s="19"/>
      <c r="U987" s="19"/>
      <c r="V987" s="19"/>
      <c r="W987" s="19"/>
      <c r="X987" s="19"/>
    </row>
    <row r="988" ht="15.75" customHeight="1">
      <c r="D988" s="19"/>
      <c r="E988" s="19"/>
      <c r="F988" s="19"/>
      <c r="H988" s="19"/>
      <c r="I988" s="5"/>
      <c r="J988" s="19"/>
      <c r="K988" s="19"/>
      <c r="L988" s="19"/>
      <c r="O988" s="20"/>
      <c r="P988" s="20"/>
      <c r="Q988" s="19"/>
      <c r="S988" s="19"/>
      <c r="T988" s="19"/>
      <c r="U988" s="19"/>
      <c r="V988" s="19"/>
      <c r="W988" s="19"/>
      <c r="X988" s="19"/>
    </row>
    <row r="989" ht="15.75" customHeight="1">
      <c r="D989" s="19"/>
      <c r="E989" s="19"/>
      <c r="F989" s="19"/>
      <c r="H989" s="19"/>
      <c r="I989" s="5"/>
      <c r="J989" s="19"/>
      <c r="K989" s="19"/>
      <c r="L989" s="19"/>
      <c r="O989" s="20"/>
      <c r="P989" s="20"/>
      <c r="Q989" s="19"/>
      <c r="S989" s="19"/>
      <c r="T989" s="19"/>
      <c r="U989" s="19"/>
      <c r="V989" s="19"/>
      <c r="W989" s="19"/>
      <c r="X989" s="19"/>
    </row>
    <row r="990" ht="15.75" customHeight="1">
      <c r="D990" s="19"/>
      <c r="E990" s="19"/>
      <c r="F990" s="19"/>
      <c r="H990" s="19"/>
      <c r="I990" s="5"/>
      <c r="J990" s="19"/>
      <c r="K990" s="19"/>
      <c r="L990" s="19"/>
      <c r="O990" s="20"/>
      <c r="P990" s="20"/>
      <c r="Q990" s="19"/>
      <c r="S990" s="19"/>
      <c r="T990" s="19"/>
      <c r="U990" s="19"/>
      <c r="V990" s="19"/>
      <c r="W990" s="19"/>
      <c r="X990" s="19"/>
    </row>
    <row r="991" ht="15.75" customHeight="1">
      <c r="D991" s="19"/>
      <c r="E991" s="19"/>
      <c r="F991" s="19"/>
      <c r="H991" s="19"/>
      <c r="I991" s="5"/>
      <c r="J991" s="19"/>
      <c r="K991" s="19"/>
      <c r="L991" s="19"/>
      <c r="O991" s="20"/>
      <c r="P991" s="20"/>
      <c r="Q991" s="19"/>
      <c r="S991" s="19"/>
      <c r="T991" s="19"/>
      <c r="U991" s="19"/>
      <c r="V991" s="19"/>
      <c r="W991" s="19"/>
      <c r="X991" s="19"/>
    </row>
    <row r="992" ht="15.75" customHeight="1">
      <c r="D992" s="19"/>
      <c r="E992" s="19"/>
      <c r="F992" s="19"/>
      <c r="H992" s="19"/>
      <c r="I992" s="5"/>
      <c r="J992" s="19"/>
      <c r="K992" s="19"/>
      <c r="L992" s="19"/>
      <c r="O992" s="20"/>
      <c r="P992" s="20"/>
      <c r="Q992" s="19"/>
      <c r="S992" s="19"/>
      <c r="T992" s="19"/>
      <c r="U992" s="19"/>
      <c r="V992" s="19"/>
      <c r="W992" s="19"/>
      <c r="X992" s="19"/>
    </row>
    <row r="993" ht="15.75" customHeight="1">
      <c r="D993" s="19"/>
      <c r="E993" s="19"/>
      <c r="F993" s="19"/>
      <c r="H993" s="19"/>
      <c r="I993" s="5"/>
      <c r="J993" s="19"/>
      <c r="K993" s="19"/>
      <c r="L993" s="19"/>
      <c r="O993" s="20"/>
      <c r="P993" s="20"/>
      <c r="Q993" s="19"/>
      <c r="S993" s="19"/>
      <c r="T993" s="19"/>
      <c r="U993" s="19"/>
      <c r="V993" s="19"/>
      <c r="W993" s="19"/>
      <c r="X993" s="19"/>
    </row>
    <row r="994" ht="15.75" customHeight="1">
      <c r="D994" s="19"/>
      <c r="E994" s="19"/>
      <c r="F994" s="19"/>
      <c r="H994" s="19"/>
      <c r="I994" s="5"/>
      <c r="J994" s="19"/>
      <c r="K994" s="19"/>
      <c r="L994" s="19"/>
      <c r="O994" s="20"/>
      <c r="P994" s="20"/>
      <c r="Q994" s="19"/>
      <c r="S994" s="19"/>
      <c r="T994" s="19"/>
      <c r="U994" s="19"/>
      <c r="V994" s="19"/>
      <c r="W994" s="19"/>
      <c r="X994" s="19"/>
    </row>
    <row r="995" ht="15.75" customHeight="1">
      <c r="D995" s="19"/>
      <c r="E995" s="19"/>
      <c r="F995" s="19"/>
      <c r="H995" s="19"/>
      <c r="I995" s="5"/>
      <c r="J995" s="19"/>
      <c r="K995" s="19"/>
      <c r="L995" s="19"/>
      <c r="O995" s="20"/>
      <c r="P995" s="20"/>
      <c r="Q995" s="19"/>
      <c r="S995" s="19"/>
      <c r="T995" s="19"/>
      <c r="U995" s="19"/>
      <c r="V995" s="19"/>
      <c r="W995" s="19"/>
      <c r="X995" s="19"/>
    </row>
    <row r="996" ht="15.75" customHeight="1">
      <c r="D996" s="19"/>
      <c r="E996" s="19"/>
      <c r="F996" s="19"/>
      <c r="H996" s="19"/>
      <c r="I996" s="5"/>
      <c r="J996" s="19"/>
      <c r="K996" s="19"/>
      <c r="L996" s="19"/>
      <c r="O996" s="20"/>
      <c r="P996" s="20"/>
      <c r="Q996" s="19"/>
      <c r="S996" s="19"/>
      <c r="T996" s="19"/>
      <c r="U996" s="19"/>
      <c r="V996" s="19"/>
      <c r="W996" s="19"/>
      <c r="X996" s="19"/>
    </row>
    <row r="997" ht="15.75" customHeight="1">
      <c r="D997" s="19"/>
      <c r="E997" s="19"/>
      <c r="F997" s="19"/>
      <c r="H997" s="19"/>
      <c r="I997" s="5"/>
      <c r="J997" s="19"/>
      <c r="K997" s="19"/>
      <c r="L997" s="19"/>
      <c r="O997" s="20"/>
      <c r="P997" s="20"/>
      <c r="Q997" s="19"/>
      <c r="S997" s="19"/>
      <c r="T997" s="19"/>
      <c r="U997" s="19"/>
      <c r="V997" s="19"/>
      <c r="W997" s="19"/>
      <c r="X997" s="19"/>
    </row>
    <row r="998" ht="15.75" customHeight="1">
      <c r="D998" s="19"/>
      <c r="E998" s="19"/>
      <c r="F998" s="19"/>
      <c r="H998" s="19"/>
      <c r="I998" s="5"/>
      <c r="J998" s="19"/>
      <c r="K998" s="19"/>
      <c r="L998" s="19"/>
      <c r="O998" s="20"/>
      <c r="P998" s="20"/>
      <c r="Q998" s="19"/>
      <c r="S998" s="19"/>
      <c r="T998" s="19"/>
      <c r="U998" s="19"/>
      <c r="V998" s="19"/>
      <c r="W998" s="19"/>
      <c r="X998" s="19"/>
    </row>
    <row r="999" ht="15.75" customHeight="1">
      <c r="D999" s="19"/>
      <c r="E999" s="19"/>
      <c r="F999" s="19"/>
      <c r="H999" s="19"/>
      <c r="I999" s="5"/>
      <c r="J999" s="19"/>
      <c r="K999" s="19"/>
      <c r="L999" s="19"/>
      <c r="O999" s="20"/>
      <c r="P999" s="20"/>
      <c r="Q999" s="19"/>
      <c r="S999" s="19"/>
      <c r="T999" s="19"/>
      <c r="U999" s="19"/>
      <c r="V999" s="19"/>
      <c r="W999" s="19"/>
      <c r="X999" s="19"/>
    </row>
    <row r="1000" ht="15.75" customHeight="1">
      <c r="D1000" s="19"/>
      <c r="E1000" s="19"/>
      <c r="F1000" s="19"/>
      <c r="H1000" s="19"/>
      <c r="I1000" s="5"/>
      <c r="J1000" s="19"/>
      <c r="K1000" s="19"/>
      <c r="L1000" s="19"/>
      <c r="O1000" s="20"/>
      <c r="P1000" s="20"/>
      <c r="Q1000" s="19"/>
      <c r="S1000" s="19"/>
      <c r="T1000" s="19"/>
      <c r="U1000" s="19"/>
      <c r="V1000" s="19"/>
      <c r="W1000" s="19"/>
      <c r="X1000" s="19"/>
    </row>
  </sheetData>
  <dataValidations>
    <dataValidation type="list" allowBlank="1" showErrorMessage="1" sqref="T2:T1000">
      <formula1>"correta,parcial,incorreta,avaliacao_manual_qualidade"</formula1>
    </dataValidation>
    <dataValidation type="list" allowBlank="1" showErrorMessage="1" sqref="V2:V37">
      <formula1>"retrieval,geracao,nenhum"</formula1>
    </dataValidation>
    <dataValidation type="list" allowBlank="1" showErrorMessage="1" sqref="U2:U37">
      <formula1>"fundamentado,parcial,nao_fundamentado"</formula1>
    </dataValidation>
    <dataValidation type="list" allowBlank="1" showErrorMessage="1" sqref="X2:X37">
      <formula1>"satisfatório,insatisfatorio"</formula1>
    </dataValidation>
    <dataValidation type="list" allowBlank="1" showErrorMessage="1" sqref="W2:W37">
      <formula1>"resposta_direta,fallback"</formula1>
    </dataValidation>
  </dataValidations>
  <printOptions/>
  <pageMargins bottom="1.0" footer="0.0" header="0.0" left="0.75" right="0.75" top="1.0"/>
  <pageSetup orientation="landscape"/>
  <drawing r:id="rId1"/>
</worksheet>
</file>